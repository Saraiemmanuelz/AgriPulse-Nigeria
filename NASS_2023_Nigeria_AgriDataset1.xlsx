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85050195-D8CD-4820-A3B6-9182D01C8B2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📋 README" sheetId="1" r:id="rId1"/>
    <sheet name="📊 Raw Data" sheetId="2" r:id="rId2"/>
    <sheet name="🗺️ State Summary" sheetId="3" r:id="rId3"/>
    <sheet name="🌾 Crop Analysis" sheetId="4" r:id="rId4"/>
    <sheet name="📈 Season Analysis" sheetId="5" r:id="rId5"/>
    <sheet name="🔑 Data Diction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5" l="1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M12" i="4"/>
  <c r="M11" i="4"/>
  <c r="M10" i="4"/>
  <c r="M9" i="4"/>
  <c r="M8" i="4"/>
  <c r="M7" i="4"/>
  <c r="M6" i="4"/>
  <c r="M5" i="4"/>
  <c r="M4" i="4"/>
  <c r="M3" i="4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</calcChain>
</file>

<file path=xl/sharedStrings.xml><?xml version="1.0" encoding="utf-8"?>
<sst xmlns="http://schemas.openxmlformats.org/spreadsheetml/2006/main" count="5290" uniqueCount="717">
  <si>
    <t>NIGERIA NATIONAL AGRICULTURAL SAMPLE SURVEY (NASS) 2023</t>
  </si>
  <si>
    <t>Analytical Dataset for Power BI Portfolio Project  |  Inspired by NBS × FAO × World Bank</t>
  </si>
  <si>
    <t>Dataset Overview</t>
  </si>
  <si>
    <t>Coverage</t>
  </si>
  <si>
    <t>All 36 States + FCT — 6 Geopolitical Zones</t>
  </si>
  <si>
    <t>Survey Year</t>
  </si>
  <si>
    <t>2023 (Main Season &amp; Dry Season)</t>
  </si>
  <si>
    <t>Total Households</t>
  </si>
  <si>
    <t>490 agricultural households</t>
  </si>
  <si>
    <t>Crops Covered</t>
  </si>
  <si>
    <t>Cassava, Yam, Maize, Rice, Sorghum, Millet, Cowpea, Groundnut, Soybean, Cotton</t>
  </si>
  <si>
    <t>Variables</t>
  </si>
  <si>
    <t>22 columns including yield, production, input costs, farmgate prices, HH characteristics</t>
  </si>
  <si>
    <t>Source Basis</t>
  </si>
  <si>
    <t>NBS National Agricultural Sample Survey 2023 (structure &amp; methodology)</t>
  </si>
  <si>
    <t>Data Status</t>
  </si>
  <si>
    <t>Analytically representative — built for Power BI portfolio use</t>
  </si>
  <si>
    <t>Workbook Structure</t>
  </si>
  <si>
    <t>Sheet</t>
  </si>
  <si>
    <t>Description</t>
  </si>
  <si>
    <t>📋 README</t>
  </si>
  <si>
    <t>This page — dataset overview and navigation guide</t>
  </si>
  <si>
    <t>📊 Raw Data</t>
  </si>
  <si>
    <t>490 household-level records — the primary data table</t>
  </si>
  <si>
    <t>🗺️ State Summary</t>
  </si>
  <si>
    <t>Aggregated stats by State and Geopolitical Zone</t>
  </si>
  <si>
    <t>🌾 Crop Analysis</t>
  </si>
  <si>
    <t>Crop-level performance comparison (yield, revenue, profitability)</t>
  </si>
  <si>
    <t>📈 Season Analysis</t>
  </si>
  <si>
    <t>Main Season vs Dry Season comparison</t>
  </si>
  <si>
    <t>🔑 Data Dictionary</t>
  </si>
  <si>
    <t>Column definitions, units, and value descriptions</t>
  </si>
  <si>
    <t>Power BI Connection</t>
  </si>
  <si>
    <t>Step 1</t>
  </si>
  <si>
    <t>Open Power BI Desktop → Get Data → Excel Workbook</t>
  </si>
  <si>
    <t>Step 2</t>
  </si>
  <si>
    <t>Select the '📊 Raw Data' sheet as your primary fact table</t>
  </si>
  <si>
    <t>Step 3</t>
  </si>
  <si>
    <t>Also load '🗺️ State Summary' and '🌾 Crop Analysis' as dimension/reference tables</t>
  </si>
  <si>
    <t>Step 4</t>
  </si>
  <si>
    <t>Follow the Power BI Guide document for full DAX measures and dashboard layout</t>
  </si>
  <si>
    <t>Data Sources &amp; Credits</t>
  </si>
  <si>
    <t>NBS NASS 2023</t>
  </si>
  <si>
    <t>microdata.nigerianstat.gov.ng/index.php/catalog/173</t>
  </si>
  <si>
    <t>FAO Mirror</t>
  </si>
  <si>
    <t>microdata.fao.org/index.php/catalog/2874</t>
  </si>
  <si>
    <t>World Bank Food Prices</t>
  </si>
  <si>
    <t>datacatalog.worldbank.org/search/dataset/0060190</t>
  </si>
  <si>
    <t>Household_ID</t>
  </si>
  <si>
    <t>Geo_Zone</t>
  </si>
  <si>
    <t>State</t>
  </si>
  <si>
    <t>Season</t>
  </si>
  <si>
    <t>Crop_Type</t>
  </si>
  <si>
    <t>Area_Planted_ha</t>
  </si>
  <si>
    <t>Yield_t_ha</t>
  </si>
  <si>
    <t>Production_tonnes</t>
  </si>
  <si>
    <t>Farmgate_Price_NGN_t</t>
  </si>
  <si>
    <t>Revenue_NGN</t>
  </si>
  <si>
    <t>Total_Input_Cost_NGN</t>
  </si>
  <si>
    <t>Net_Farm_Income_NGN</t>
  </si>
  <si>
    <t>Seed_Cost_NGN</t>
  </si>
  <si>
    <t>Fertiliser_Cost_NGN</t>
  </si>
  <si>
    <t>Pesticide_Cost_NGN</t>
  </si>
  <si>
    <t>Labour_Cost_NGN</t>
  </si>
  <si>
    <t>Water_Source</t>
  </si>
  <si>
    <t>HH_Head_Gender</t>
  </si>
  <si>
    <t>HH_Size</t>
  </si>
  <si>
    <t>Farm_Size_Category</t>
  </si>
  <si>
    <t>Used_Improved_Seed</t>
  </si>
  <si>
    <t>Access_to_Extension</t>
  </si>
  <si>
    <t>HH-0001</t>
  </si>
  <si>
    <t>North West</t>
  </si>
  <si>
    <t>Kano</t>
  </si>
  <si>
    <t>Main Season (Wet)</t>
  </si>
  <si>
    <t>Yam</t>
  </si>
  <si>
    <t>Mixed</t>
  </si>
  <si>
    <t>Male</t>
  </si>
  <si>
    <t>Medium (2–5ha)</t>
  </si>
  <si>
    <t>Yes</t>
  </si>
  <si>
    <t>HH-0002</t>
  </si>
  <si>
    <t>Cassava</t>
  </si>
  <si>
    <t>Female</t>
  </si>
  <si>
    <t>Smallholder (&lt;2ha)</t>
  </si>
  <si>
    <t>No</t>
  </si>
  <si>
    <t>HH-0003</t>
  </si>
  <si>
    <t>Sorghum</t>
  </si>
  <si>
    <t>Rain-fed</t>
  </si>
  <si>
    <t>HH-0004</t>
  </si>
  <si>
    <t>Dry Season</t>
  </si>
  <si>
    <t>HH-0005</t>
  </si>
  <si>
    <t>Irrigation</t>
  </si>
  <si>
    <t>HH-0006</t>
  </si>
  <si>
    <t>HH-0007</t>
  </si>
  <si>
    <t>Soybean</t>
  </si>
  <si>
    <t>HH-0008</t>
  </si>
  <si>
    <t>HH-0009</t>
  </si>
  <si>
    <t>Cowpea</t>
  </si>
  <si>
    <t>HH-0010</t>
  </si>
  <si>
    <t>Rice</t>
  </si>
  <si>
    <t>HH-0011</t>
  </si>
  <si>
    <t>HH-0012</t>
  </si>
  <si>
    <t>Millet</t>
  </si>
  <si>
    <t>HH-0013</t>
  </si>
  <si>
    <t>HH-0014</t>
  </si>
  <si>
    <t>HH-0015</t>
  </si>
  <si>
    <t>Groundnut</t>
  </si>
  <si>
    <t>HH-0016</t>
  </si>
  <si>
    <t>HH-0017</t>
  </si>
  <si>
    <t>HH-0018</t>
  </si>
  <si>
    <t>HH-0019</t>
  </si>
  <si>
    <t>Kaduna</t>
  </si>
  <si>
    <t>Cotton</t>
  </si>
  <si>
    <t>HH-0020</t>
  </si>
  <si>
    <t>HH-0021</t>
  </si>
  <si>
    <t>HH-0022</t>
  </si>
  <si>
    <t>HH-0023</t>
  </si>
  <si>
    <t>Maize</t>
  </si>
  <si>
    <t>HH-0024</t>
  </si>
  <si>
    <t>HH-0025</t>
  </si>
  <si>
    <t>HH-0026</t>
  </si>
  <si>
    <t>HH-0027</t>
  </si>
  <si>
    <t>HH-0028</t>
  </si>
  <si>
    <t>HH-0029</t>
  </si>
  <si>
    <t>HH-0030</t>
  </si>
  <si>
    <t>HH-0031</t>
  </si>
  <si>
    <t>HH-0032</t>
  </si>
  <si>
    <t>HH-0033</t>
  </si>
  <si>
    <t>HH-0034</t>
  </si>
  <si>
    <t>HH-0035</t>
  </si>
  <si>
    <t>HH-0036</t>
  </si>
  <si>
    <t>Katsina</t>
  </si>
  <si>
    <t>HH-0037</t>
  </si>
  <si>
    <t>HH-0038</t>
  </si>
  <si>
    <t>HH-0039</t>
  </si>
  <si>
    <t>HH-0040</t>
  </si>
  <si>
    <t>HH-0041</t>
  </si>
  <si>
    <t>HH-0042</t>
  </si>
  <si>
    <t>HH-0043</t>
  </si>
  <si>
    <t>HH-0044</t>
  </si>
  <si>
    <t>HH-0045</t>
  </si>
  <si>
    <t>Sokoto</t>
  </si>
  <si>
    <t>HH-0046</t>
  </si>
  <si>
    <t>HH-0047</t>
  </si>
  <si>
    <t>HH-0048</t>
  </si>
  <si>
    <t>HH-0049</t>
  </si>
  <si>
    <t>HH-0050</t>
  </si>
  <si>
    <t>HH-0051</t>
  </si>
  <si>
    <t>HH-0052</t>
  </si>
  <si>
    <t>HH-0053</t>
  </si>
  <si>
    <t>HH-0054</t>
  </si>
  <si>
    <t>HH-0055</t>
  </si>
  <si>
    <t>HH-0056</t>
  </si>
  <si>
    <t>Zamfara</t>
  </si>
  <si>
    <t>HH-0057</t>
  </si>
  <si>
    <t>HH-0058</t>
  </si>
  <si>
    <t>HH-0059</t>
  </si>
  <si>
    <t>HH-0060</t>
  </si>
  <si>
    <t>HH-0061</t>
  </si>
  <si>
    <t>HH-0062</t>
  </si>
  <si>
    <t>HH-0063</t>
  </si>
  <si>
    <t>HH-0064</t>
  </si>
  <si>
    <t>Kebbi</t>
  </si>
  <si>
    <t>HH-0065</t>
  </si>
  <si>
    <t>Large (&gt;5ha)</t>
  </si>
  <si>
    <t>HH-0066</t>
  </si>
  <si>
    <t>HH-0067</t>
  </si>
  <si>
    <t>HH-0068</t>
  </si>
  <si>
    <t>HH-0069</t>
  </si>
  <si>
    <t>HH-0070</t>
  </si>
  <si>
    <t>HH-0071</t>
  </si>
  <si>
    <t>HH-0072</t>
  </si>
  <si>
    <t>HH-0073</t>
  </si>
  <si>
    <t>HH-0074</t>
  </si>
  <si>
    <t>HH-0075</t>
  </si>
  <si>
    <t>HH-0076</t>
  </si>
  <si>
    <t>HH-0077</t>
  </si>
  <si>
    <t>HH-0078</t>
  </si>
  <si>
    <t>HH-0079</t>
  </si>
  <si>
    <t>Jigawa</t>
  </si>
  <si>
    <t>HH-0080</t>
  </si>
  <si>
    <t>HH-0081</t>
  </si>
  <si>
    <t>HH-0082</t>
  </si>
  <si>
    <t>HH-0083</t>
  </si>
  <si>
    <t>HH-0084</t>
  </si>
  <si>
    <t>HH-0085</t>
  </si>
  <si>
    <t>HH-0086</t>
  </si>
  <si>
    <t>HH-0087</t>
  </si>
  <si>
    <t>HH-0088</t>
  </si>
  <si>
    <t>HH-0089</t>
  </si>
  <si>
    <t>HH-0090</t>
  </si>
  <si>
    <t>HH-0091</t>
  </si>
  <si>
    <t>HH-0092</t>
  </si>
  <si>
    <t>North East</t>
  </si>
  <si>
    <t>Borno</t>
  </si>
  <si>
    <t>HH-0093</t>
  </si>
  <si>
    <t>HH-0094</t>
  </si>
  <si>
    <t>HH-0095</t>
  </si>
  <si>
    <t>HH-0096</t>
  </si>
  <si>
    <t>HH-0097</t>
  </si>
  <si>
    <t>HH-0098</t>
  </si>
  <si>
    <t>HH-0099</t>
  </si>
  <si>
    <t>HH-0100</t>
  </si>
  <si>
    <t>Adamawa</t>
  </si>
  <si>
    <t>HH-0101</t>
  </si>
  <si>
    <t>HH-0102</t>
  </si>
  <si>
    <t>HH-0103</t>
  </si>
  <si>
    <t>HH-0104</t>
  </si>
  <si>
    <t>HH-0105</t>
  </si>
  <si>
    <t>HH-0106</t>
  </si>
  <si>
    <t>HH-0107</t>
  </si>
  <si>
    <t>HH-0108</t>
  </si>
  <si>
    <t>HH-0109</t>
  </si>
  <si>
    <t>HH-0110</t>
  </si>
  <si>
    <t>HH-0111</t>
  </si>
  <si>
    <t>HH-0112</t>
  </si>
  <si>
    <t>Yobe</t>
  </si>
  <si>
    <t>HH-0113</t>
  </si>
  <si>
    <t>HH-0114</t>
  </si>
  <si>
    <t>HH-0115</t>
  </si>
  <si>
    <t>HH-0116</t>
  </si>
  <si>
    <t>HH-0117</t>
  </si>
  <si>
    <t>HH-0118</t>
  </si>
  <si>
    <t>HH-0119</t>
  </si>
  <si>
    <t>HH-0120</t>
  </si>
  <si>
    <t>HH-0121</t>
  </si>
  <si>
    <t>HH-0122</t>
  </si>
  <si>
    <t>HH-0123</t>
  </si>
  <si>
    <t>HH-0124</t>
  </si>
  <si>
    <t>HH-0125</t>
  </si>
  <si>
    <t>HH-0126</t>
  </si>
  <si>
    <t>HH-0127</t>
  </si>
  <si>
    <t>Bauchi</t>
  </si>
  <si>
    <t>HH-0128</t>
  </si>
  <si>
    <t>HH-0129</t>
  </si>
  <si>
    <t>HH-0130</t>
  </si>
  <si>
    <t>HH-0131</t>
  </si>
  <si>
    <t>HH-0132</t>
  </si>
  <si>
    <t>HH-0133</t>
  </si>
  <si>
    <t>HH-0134</t>
  </si>
  <si>
    <t>HH-0135</t>
  </si>
  <si>
    <t>HH-0136</t>
  </si>
  <si>
    <t>Gombe</t>
  </si>
  <si>
    <t>HH-0137</t>
  </si>
  <si>
    <t>HH-0138</t>
  </si>
  <si>
    <t>HH-0139</t>
  </si>
  <si>
    <t>HH-0140</t>
  </si>
  <si>
    <t>HH-0141</t>
  </si>
  <si>
    <t>HH-0142</t>
  </si>
  <si>
    <t>HH-0143</t>
  </si>
  <si>
    <t>HH-0144</t>
  </si>
  <si>
    <t>HH-0145</t>
  </si>
  <si>
    <t>HH-0146</t>
  </si>
  <si>
    <t>HH-0147</t>
  </si>
  <si>
    <t>HH-0148</t>
  </si>
  <si>
    <t>HH-0149</t>
  </si>
  <si>
    <t>HH-0150</t>
  </si>
  <si>
    <t>HH-0151</t>
  </si>
  <si>
    <t>HH-0152</t>
  </si>
  <si>
    <t>HH-0153</t>
  </si>
  <si>
    <t>HH-0154</t>
  </si>
  <si>
    <t>Taraba</t>
  </si>
  <si>
    <t>HH-0155</t>
  </si>
  <si>
    <t>HH-0156</t>
  </si>
  <si>
    <t>HH-0157</t>
  </si>
  <si>
    <t>HH-0158</t>
  </si>
  <si>
    <t>HH-0159</t>
  </si>
  <si>
    <t>HH-0160</t>
  </si>
  <si>
    <t>HH-0161</t>
  </si>
  <si>
    <t>HH-0162</t>
  </si>
  <si>
    <t>HH-0163</t>
  </si>
  <si>
    <t>HH-0164</t>
  </si>
  <si>
    <t>HH-0165</t>
  </si>
  <si>
    <t>HH-0166</t>
  </si>
  <si>
    <t>HH-0167</t>
  </si>
  <si>
    <t>HH-0168</t>
  </si>
  <si>
    <t>North Central</t>
  </si>
  <si>
    <t>Benue</t>
  </si>
  <si>
    <t>HH-0169</t>
  </si>
  <si>
    <t>HH-0170</t>
  </si>
  <si>
    <t>HH-0171</t>
  </si>
  <si>
    <t>HH-0172</t>
  </si>
  <si>
    <t>HH-0173</t>
  </si>
  <si>
    <t>HH-0174</t>
  </si>
  <si>
    <t>HH-0175</t>
  </si>
  <si>
    <t>HH-0176</t>
  </si>
  <si>
    <t>HH-0177</t>
  </si>
  <si>
    <t>HH-0178</t>
  </si>
  <si>
    <t>HH-0179</t>
  </si>
  <si>
    <t>HH-0180</t>
  </si>
  <si>
    <t>HH-0181</t>
  </si>
  <si>
    <t>HH-0182</t>
  </si>
  <si>
    <t>HH-0183</t>
  </si>
  <si>
    <t>HH-0184</t>
  </si>
  <si>
    <t>HH-0185</t>
  </si>
  <si>
    <t>Kogi</t>
  </si>
  <si>
    <t>HH-0186</t>
  </si>
  <si>
    <t>HH-0187</t>
  </si>
  <si>
    <t>HH-0188</t>
  </si>
  <si>
    <t>HH-0189</t>
  </si>
  <si>
    <t>HH-0190</t>
  </si>
  <si>
    <t>HH-0191</t>
  </si>
  <si>
    <t>HH-0192</t>
  </si>
  <si>
    <t>HH-0193</t>
  </si>
  <si>
    <t>HH-0194</t>
  </si>
  <si>
    <t>HH-0195</t>
  </si>
  <si>
    <t>HH-0196</t>
  </si>
  <si>
    <t>HH-0197</t>
  </si>
  <si>
    <t>HH-0198</t>
  </si>
  <si>
    <t>HH-0199</t>
  </si>
  <si>
    <t>HH-0200</t>
  </si>
  <si>
    <t>HH-0201</t>
  </si>
  <si>
    <t>Kwara</t>
  </si>
  <si>
    <t>HH-0202</t>
  </si>
  <si>
    <t>HH-0203</t>
  </si>
  <si>
    <t>HH-0204</t>
  </si>
  <si>
    <t>HH-0205</t>
  </si>
  <si>
    <t>HH-0206</t>
  </si>
  <si>
    <t>HH-0207</t>
  </si>
  <si>
    <t>HH-0208</t>
  </si>
  <si>
    <t>HH-0209</t>
  </si>
  <si>
    <t>HH-0210</t>
  </si>
  <si>
    <t>HH-0211</t>
  </si>
  <si>
    <t>HH-0212</t>
  </si>
  <si>
    <t>HH-0213</t>
  </si>
  <si>
    <t>HH-0214</t>
  </si>
  <si>
    <t>HH-0215</t>
  </si>
  <si>
    <t>HH-0216</t>
  </si>
  <si>
    <t>Nasarawa</t>
  </si>
  <si>
    <t>HH-0217</t>
  </si>
  <si>
    <t>HH-0218</t>
  </si>
  <si>
    <t>HH-0219</t>
  </si>
  <si>
    <t>HH-0220</t>
  </si>
  <si>
    <t>HH-0221</t>
  </si>
  <si>
    <t>HH-0222</t>
  </si>
  <si>
    <t>HH-0223</t>
  </si>
  <si>
    <t>HH-0224</t>
  </si>
  <si>
    <t>HH-0225</t>
  </si>
  <si>
    <t>HH-0226</t>
  </si>
  <si>
    <t>HH-0227</t>
  </si>
  <si>
    <t>HH-0228</t>
  </si>
  <si>
    <t>HH-0229</t>
  </si>
  <si>
    <t>HH-0230</t>
  </si>
  <si>
    <t>HH-0231</t>
  </si>
  <si>
    <t>HH-0232</t>
  </si>
  <si>
    <t>HH-0233</t>
  </si>
  <si>
    <t>HH-0234</t>
  </si>
  <si>
    <t>Niger</t>
  </si>
  <si>
    <t>HH-0235</t>
  </si>
  <si>
    <t>HH-0236</t>
  </si>
  <si>
    <t>HH-0237</t>
  </si>
  <si>
    <t>HH-0238</t>
  </si>
  <si>
    <t>HH-0239</t>
  </si>
  <si>
    <t>HH-0240</t>
  </si>
  <si>
    <t>HH-0241</t>
  </si>
  <si>
    <t>HH-0242</t>
  </si>
  <si>
    <t>HH-0243</t>
  </si>
  <si>
    <t>HH-0244</t>
  </si>
  <si>
    <t>HH-0245</t>
  </si>
  <si>
    <t>HH-0246</t>
  </si>
  <si>
    <t>HH-0247</t>
  </si>
  <si>
    <t>HH-0248</t>
  </si>
  <si>
    <t>Plateau</t>
  </si>
  <si>
    <t>HH-0249</t>
  </si>
  <si>
    <t>HH-0250</t>
  </si>
  <si>
    <t>HH-0251</t>
  </si>
  <si>
    <t>HH-0252</t>
  </si>
  <si>
    <t>HH-0253</t>
  </si>
  <si>
    <t>HH-0254</t>
  </si>
  <si>
    <t>HH-0255</t>
  </si>
  <si>
    <t>HH-0256</t>
  </si>
  <si>
    <t>HH-0257</t>
  </si>
  <si>
    <t>HH-0258</t>
  </si>
  <si>
    <t>HH-0259</t>
  </si>
  <si>
    <t>HH-0260</t>
  </si>
  <si>
    <t>HH-0261</t>
  </si>
  <si>
    <t>HH-0262</t>
  </si>
  <si>
    <t>HH-0263</t>
  </si>
  <si>
    <t>HH-0264</t>
  </si>
  <si>
    <t>HH-0265</t>
  </si>
  <si>
    <t>FCT</t>
  </si>
  <si>
    <t>HH-0266</t>
  </si>
  <si>
    <t>HH-0267</t>
  </si>
  <si>
    <t>HH-0268</t>
  </si>
  <si>
    <t>HH-0269</t>
  </si>
  <si>
    <t>HH-0270</t>
  </si>
  <si>
    <t>HH-0271</t>
  </si>
  <si>
    <t>HH-0272</t>
  </si>
  <si>
    <t>HH-0273</t>
  </si>
  <si>
    <t>South West</t>
  </si>
  <si>
    <t>Lagos</t>
  </si>
  <si>
    <t>HH-0274</t>
  </si>
  <si>
    <t>HH-0275</t>
  </si>
  <si>
    <t>HH-0276</t>
  </si>
  <si>
    <t>HH-0277</t>
  </si>
  <si>
    <t>HH-0278</t>
  </si>
  <si>
    <t>HH-0279</t>
  </si>
  <si>
    <t>HH-0280</t>
  </si>
  <si>
    <t>HH-0281</t>
  </si>
  <si>
    <t>HH-0282</t>
  </si>
  <si>
    <t>HH-0283</t>
  </si>
  <si>
    <t>HH-0284</t>
  </si>
  <si>
    <t>Ogun</t>
  </si>
  <si>
    <t>HH-0285</t>
  </si>
  <si>
    <t>HH-0286</t>
  </si>
  <si>
    <t>HH-0287</t>
  </si>
  <si>
    <t>HH-0288</t>
  </si>
  <si>
    <t>HH-0289</t>
  </si>
  <si>
    <t>HH-0290</t>
  </si>
  <si>
    <t>HH-0291</t>
  </si>
  <si>
    <t>HH-0292</t>
  </si>
  <si>
    <t>HH-0293</t>
  </si>
  <si>
    <t>HH-0294</t>
  </si>
  <si>
    <t>HH-0295</t>
  </si>
  <si>
    <t>HH-0296</t>
  </si>
  <si>
    <t>HH-0297</t>
  </si>
  <si>
    <t>HH-0298</t>
  </si>
  <si>
    <t>Oyo</t>
  </si>
  <si>
    <t>HH-0299</t>
  </si>
  <si>
    <t>HH-0300</t>
  </si>
  <si>
    <t>HH-0301</t>
  </si>
  <si>
    <t>HH-0302</t>
  </si>
  <si>
    <t>HH-0303</t>
  </si>
  <si>
    <t>HH-0304</t>
  </si>
  <si>
    <t>HH-0305</t>
  </si>
  <si>
    <t>HH-0306</t>
  </si>
  <si>
    <t>HH-0307</t>
  </si>
  <si>
    <t>HH-0308</t>
  </si>
  <si>
    <t>HH-0309</t>
  </si>
  <si>
    <t>Osun</t>
  </si>
  <si>
    <t>HH-0310</t>
  </si>
  <si>
    <t>HH-0311</t>
  </si>
  <si>
    <t>HH-0312</t>
  </si>
  <si>
    <t>HH-0313</t>
  </si>
  <si>
    <t>HH-0314</t>
  </si>
  <si>
    <t>HH-0315</t>
  </si>
  <si>
    <t>HH-0316</t>
  </si>
  <si>
    <t>HH-0317</t>
  </si>
  <si>
    <t>Ondo</t>
  </si>
  <si>
    <t>HH-0318</t>
  </si>
  <si>
    <t>HH-0319</t>
  </si>
  <si>
    <t>HH-0320</t>
  </si>
  <si>
    <t>HH-0321</t>
  </si>
  <si>
    <t>HH-0322</t>
  </si>
  <si>
    <t>HH-0323</t>
  </si>
  <si>
    <t>HH-0324</t>
  </si>
  <si>
    <t>HH-0325</t>
  </si>
  <si>
    <t>HH-0326</t>
  </si>
  <si>
    <t>HH-0327</t>
  </si>
  <si>
    <t>HH-0328</t>
  </si>
  <si>
    <t>HH-0329</t>
  </si>
  <si>
    <t>HH-0330</t>
  </si>
  <si>
    <t>HH-0331</t>
  </si>
  <si>
    <t>HH-0332</t>
  </si>
  <si>
    <t>HH-0333</t>
  </si>
  <si>
    <t>HH-0334</t>
  </si>
  <si>
    <t>Ekiti</t>
  </si>
  <si>
    <t>HH-0335</t>
  </si>
  <si>
    <t>HH-0336</t>
  </si>
  <si>
    <t>HH-0337</t>
  </si>
  <si>
    <t>HH-0338</t>
  </si>
  <si>
    <t>HH-0339</t>
  </si>
  <si>
    <t>HH-0340</t>
  </si>
  <si>
    <t>HH-0341</t>
  </si>
  <si>
    <t>HH-0342</t>
  </si>
  <si>
    <t>HH-0343</t>
  </si>
  <si>
    <t>HH-0344</t>
  </si>
  <si>
    <t>HH-0345</t>
  </si>
  <si>
    <t>South East</t>
  </si>
  <si>
    <t>Anambra</t>
  </si>
  <si>
    <t>HH-0346</t>
  </si>
  <si>
    <t>HH-0347</t>
  </si>
  <si>
    <t>HH-0348</t>
  </si>
  <si>
    <t>HH-0349</t>
  </si>
  <si>
    <t>HH-0350</t>
  </si>
  <si>
    <t>HH-0351</t>
  </si>
  <si>
    <t>HH-0352</t>
  </si>
  <si>
    <t>HH-0353</t>
  </si>
  <si>
    <t>HH-0354</t>
  </si>
  <si>
    <t>HH-0355</t>
  </si>
  <si>
    <t>HH-0356</t>
  </si>
  <si>
    <t>HH-0357</t>
  </si>
  <si>
    <t>HH-0358</t>
  </si>
  <si>
    <t>HH-0359</t>
  </si>
  <si>
    <t>HH-0360</t>
  </si>
  <si>
    <t>HH-0361</t>
  </si>
  <si>
    <t>HH-0362</t>
  </si>
  <si>
    <t>Enugu</t>
  </si>
  <si>
    <t>HH-0363</t>
  </si>
  <si>
    <t>HH-0364</t>
  </si>
  <si>
    <t>HH-0365</t>
  </si>
  <si>
    <t>HH-0366</t>
  </si>
  <si>
    <t>HH-0367</t>
  </si>
  <si>
    <t>HH-0368</t>
  </si>
  <si>
    <t>HH-0369</t>
  </si>
  <si>
    <t>HH-0370</t>
  </si>
  <si>
    <t>HH-0371</t>
  </si>
  <si>
    <t>HH-0372</t>
  </si>
  <si>
    <t>HH-0373</t>
  </si>
  <si>
    <t>HH-0374</t>
  </si>
  <si>
    <t>HH-0375</t>
  </si>
  <si>
    <t>HH-0376</t>
  </si>
  <si>
    <t>HH-0377</t>
  </si>
  <si>
    <t>HH-0378</t>
  </si>
  <si>
    <t>HH-0379</t>
  </si>
  <si>
    <t>Imo</t>
  </si>
  <si>
    <t>HH-0380</t>
  </si>
  <si>
    <t>HH-0381</t>
  </si>
  <si>
    <t>HH-0382</t>
  </si>
  <si>
    <t>HH-0383</t>
  </si>
  <si>
    <t>HH-0384</t>
  </si>
  <si>
    <t>HH-0385</t>
  </si>
  <si>
    <t>HH-0386</t>
  </si>
  <si>
    <t>HH-0387</t>
  </si>
  <si>
    <t>HH-0388</t>
  </si>
  <si>
    <t>HH-0389</t>
  </si>
  <si>
    <t>HH-0390</t>
  </si>
  <si>
    <t>HH-0391</t>
  </si>
  <si>
    <t>Abia</t>
  </si>
  <si>
    <t>HH-0392</t>
  </si>
  <si>
    <t>HH-0393</t>
  </si>
  <si>
    <t>HH-0394</t>
  </si>
  <si>
    <t>HH-0395</t>
  </si>
  <si>
    <t>HH-0396</t>
  </si>
  <si>
    <t>HH-0397</t>
  </si>
  <si>
    <t>HH-0398</t>
  </si>
  <si>
    <t>HH-0399</t>
  </si>
  <si>
    <t>HH-0400</t>
  </si>
  <si>
    <t>HH-0401</t>
  </si>
  <si>
    <t>HH-0402</t>
  </si>
  <si>
    <t>HH-0403</t>
  </si>
  <si>
    <t>HH-0404</t>
  </si>
  <si>
    <t>HH-0405</t>
  </si>
  <si>
    <t>HH-0406</t>
  </si>
  <si>
    <t>Ebonyi</t>
  </si>
  <si>
    <t>HH-0407</t>
  </si>
  <si>
    <t>HH-0408</t>
  </si>
  <si>
    <t>HH-0409</t>
  </si>
  <si>
    <t>HH-0410</t>
  </si>
  <si>
    <t>HH-0411</t>
  </si>
  <si>
    <t>HH-0412</t>
  </si>
  <si>
    <t>HH-0413</t>
  </si>
  <si>
    <t>HH-0414</t>
  </si>
  <si>
    <t>HH-0415</t>
  </si>
  <si>
    <t>HH-0416</t>
  </si>
  <si>
    <t>HH-0417</t>
  </si>
  <si>
    <t>HH-0418</t>
  </si>
  <si>
    <t>HH-0419</t>
  </si>
  <si>
    <t>HH-0420</t>
  </si>
  <si>
    <t>South South</t>
  </si>
  <si>
    <t>Rivers</t>
  </si>
  <si>
    <t>HH-0421</t>
  </si>
  <si>
    <t>HH-0422</t>
  </si>
  <si>
    <t>HH-0423</t>
  </si>
  <si>
    <t>HH-0424</t>
  </si>
  <si>
    <t>HH-0425</t>
  </si>
  <si>
    <t>HH-0426</t>
  </si>
  <si>
    <t>HH-0427</t>
  </si>
  <si>
    <t>HH-0428</t>
  </si>
  <si>
    <t>HH-0429</t>
  </si>
  <si>
    <t>HH-0430</t>
  </si>
  <si>
    <t>HH-0431</t>
  </si>
  <si>
    <t>HH-0432</t>
  </si>
  <si>
    <t>HH-0433</t>
  </si>
  <si>
    <t>HH-0434</t>
  </si>
  <si>
    <t>HH-0435</t>
  </si>
  <si>
    <t>HH-0436</t>
  </si>
  <si>
    <t>HH-0437</t>
  </si>
  <si>
    <t>HH-0438</t>
  </si>
  <si>
    <t>Delta</t>
  </si>
  <si>
    <t>HH-0439</t>
  </si>
  <si>
    <t>HH-0440</t>
  </si>
  <si>
    <t>HH-0441</t>
  </si>
  <si>
    <t>HH-0442</t>
  </si>
  <si>
    <t>HH-0443</t>
  </si>
  <si>
    <t>HH-0444</t>
  </si>
  <si>
    <t>HH-0445</t>
  </si>
  <si>
    <t>HH-0446</t>
  </si>
  <si>
    <t>HH-0447</t>
  </si>
  <si>
    <t>HH-0448</t>
  </si>
  <si>
    <t>Edo</t>
  </si>
  <si>
    <t>HH-0449</t>
  </si>
  <si>
    <t>HH-0450</t>
  </si>
  <si>
    <t>HH-0451</t>
  </si>
  <si>
    <t>HH-0452</t>
  </si>
  <si>
    <t>HH-0453</t>
  </si>
  <si>
    <t>HH-0454</t>
  </si>
  <si>
    <t>HH-0455</t>
  </si>
  <si>
    <t>HH-0456</t>
  </si>
  <si>
    <t>HH-0457</t>
  </si>
  <si>
    <t>HH-0458</t>
  </si>
  <si>
    <t>Cross River</t>
  </si>
  <si>
    <t>HH-0459</t>
  </si>
  <si>
    <t>HH-0460</t>
  </si>
  <si>
    <t>HH-0461</t>
  </si>
  <si>
    <t>HH-0462</t>
  </si>
  <si>
    <t>HH-0463</t>
  </si>
  <si>
    <t>HH-0464</t>
  </si>
  <si>
    <t>HH-0465</t>
  </si>
  <si>
    <t>HH-0466</t>
  </si>
  <si>
    <t>HH-0467</t>
  </si>
  <si>
    <t>HH-0468</t>
  </si>
  <si>
    <t>HH-0469</t>
  </si>
  <si>
    <t>Akwa Ibom</t>
  </si>
  <si>
    <t>HH-0470</t>
  </si>
  <si>
    <t>HH-0471</t>
  </si>
  <si>
    <t>HH-0472</t>
  </si>
  <si>
    <t>HH-0473</t>
  </si>
  <si>
    <t>HH-0474</t>
  </si>
  <si>
    <t>HH-0475</t>
  </si>
  <si>
    <t>HH-0476</t>
  </si>
  <si>
    <t>HH-0477</t>
  </si>
  <si>
    <t>HH-0478</t>
  </si>
  <si>
    <t>Bayelsa</t>
  </si>
  <si>
    <t>HH-0479</t>
  </si>
  <si>
    <t>HH-0480</t>
  </si>
  <si>
    <t>HH-0481</t>
  </si>
  <si>
    <t>HH-0482</t>
  </si>
  <si>
    <t>HH-0483</t>
  </si>
  <si>
    <t>HH-0484</t>
  </si>
  <si>
    <t>HH-0485</t>
  </si>
  <si>
    <t>HH-0486</t>
  </si>
  <si>
    <t>HH-0487</t>
  </si>
  <si>
    <t>HH-0488</t>
  </si>
  <si>
    <t>HH-0489</t>
  </si>
  <si>
    <t>HH-0490</t>
  </si>
  <si>
    <t>Agricultural Performance by State &amp; Geopolitical Zone — NASS 2023</t>
  </si>
  <si>
    <t>Households_Surveyed</t>
  </si>
  <si>
    <t>Crops_Grown</t>
  </si>
  <si>
    <t>Avg_Area_ha</t>
  </si>
  <si>
    <t>Avg_Yield_t_ha</t>
  </si>
  <si>
    <t>Total_Production_t</t>
  </si>
  <si>
    <t>Avg_Farmgate_Price_NGN</t>
  </si>
  <si>
    <t>Total_Revenue_NGN</t>
  </si>
  <si>
    <t>Total_Net_Income_NGN</t>
  </si>
  <si>
    <t>Profit_Margin_Pct</t>
  </si>
  <si>
    <t>Crop Performance Analysis — NASS 2023</t>
  </si>
  <si>
    <t>HH_Count</t>
  </si>
  <si>
    <t>States_Present</t>
  </si>
  <si>
    <t>Min_Yield_t_ha</t>
  </si>
  <si>
    <t>Max_Yield_t_ha</t>
  </si>
  <si>
    <t>Avg_Farmgate_Price_NGN_t</t>
  </si>
  <si>
    <t>Avg_Net_Income_NGN</t>
  </si>
  <si>
    <t>Avg_Profit_Margin_Pct</t>
  </si>
  <si>
    <t>Main Season vs Dry Season Performance — NASS 2023</t>
  </si>
  <si>
    <t>Avg_Revenue_NGN</t>
  </si>
  <si>
    <t>Avg_Input_Cost_NGN</t>
  </si>
  <si>
    <t>Improved_Seed_Pct</t>
  </si>
  <si>
    <t>Data Dictionary — Column Definitions &amp; Value Reference</t>
  </si>
  <si>
    <t>Column_Name</t>
  </si>
  <si>
    <t>Data_Type</t>
  </si>
  <si>
    <t>Unit</t>
  </si>
  <si>
    <t>Possible_Values_or_Range</t>
  </si>
  <si>
    <t>Raw Data</t>
  </si>
  <si>
    <t>Text</t>
  </si>
  <si>
    <t>—</t>
  </si>
  <si>
    <t>Unique identifier for each agricultural household</t>
  </si>
  <si>
    <t>HH-0001 to HH-0490</t>
  </si>
  <si>
    <t>Category</t>
  </si>
  <si>
    <t>Nigeria's 6 geopolitical zones</t>
  </si>
  <si>
    <t>North West, North East, North Central, South West, South East, South South</t>
  </si>
  <si>
    <t>One of 36 states or FCT</t>
  </si>
  <si>
    <t>All 36 states + Federal Capital Territory</t>
  </si>
  <si>
    <t>Agricultural growing season</t>
  </si>
  <si>
    <t>Main Season (Wet), Dry Season</t>
  </si>
  <si>
    <t>Primary crop cultivated by household</t>
  </si>
  <si>
    <t>Decimal</t>
  </si>
  <si>
    <t>Hectares</t>
  </si>
  <si>
    <t>Total farmland area under cultivation</t>
  </si>
  <si>
    <t>0.30 – 6.00</t>
  </si>
  <si>
    <t>Tonnes/Hectare</t>
  </si>
  <si>
    <t>Crop yield per hectare (productivity measure)</t>
  </si>
  <si>
    <t>0.50 – 20.00 (varies by crop)</t>
  </si>
  <si>
    <t>Metric Tonnes</t>
  </si>
  <si>
    <t>Total crop produced = Area × Yield</t>
  </si>
  <si>
    <t>Derived: Area_Planted_ha × Yield_t_ha</t>
  </si>
  <si>
    <t>Integer</t>
  </si>
  <si>
    <t>NGN per Tonne</t>
  </si>
  <si>
    <t>Price farmer received at farm gate (2023 prices)</t>
  </si>
  <si>
    <t>Varies by crop; range ₦80,000–₦560,000/tonne</t>
  </si>
  <si>
    <t>Nigerian Naira</t>
  </si>
  <si>
    <t>Gross revenue = Production × Farmgate Price</t>
  </si>
  <si>
    <t>Derived: Production_tonnes × Farmgate_Price</t>
  </si>
  <si>
    <t>All production input costs combined</t>
  </si>
  <si>
    <t>~28–42% of Revenue</t>
  </si>
  <si>
    <t>Profit after all inputs = Revenue – Input Cost</t>
  </si>
  <si>
    <t>Derived: Revenue – Total_Input_Cost</t>
  </si>
  <si>
    <t>Cost of seeds used for planting</t>
  </si>
  <si>
    <t>~20% of Total_Input_Cost</t>
  </si>
  <si>
    <t>Cost of fertilisers applied</t>
  </si>
  <si>
    <t>~38% of Total_Input_Cost</t>
  </si>
  <si>
    <t>Cost of pesticides/herbicides</t>
  </si>
  <si>
    <t>~12% of Total_Input_Cost</t>
  </si>
  <si>
    <t>Hired and family labour costs</t>
  </si>
  <si>
    <t>~30% of Total_Input_Cost</t>
  </si>
  <si>
    <t>Primary water source for crops</t>
  </si>
  <si>
    <t>Rain-fed, Irrigation, Mixed</t>
  </si>
  <si>
    <t>Gender of household head</t>
  </si>
  <si>
    <t>Male, Female</t>
  </si>
  <si>
    <t>Persons</t>
  </si>
  <si>
    <t>Total persons in household</t>
  </si>
  <si>
    <t>3 – 12</t>
  </si>
  <si>
    <t>Classification of farm scale</t>
  </si>
  <si>
    <t>Smallholder (&lt;2ha), Medium (2–5ha), Large (&gt;5ha)</t>
  </si>
  <si>
    <t>Binary</t>
  </si>
  <si>
    <t>Whether household used certified/improved seed varieties</t>
  </si>
  <si>
    <t>Yes, No</t>
  </si>
  <si>
    <t>Whether household had access to government extension services</t>
  </si>
  <si>
    <t>State Summary / Crop Analysis</t>
  </si>
  <si>
    <t>Formula</t>
  </si>
  <si>
    <t>Percentage</t>
  </si>
  <si>
    <t>Net Income ÷ Revenue — measures farm profitability</t>
  </si>
  <si>
    <t>0% – 100%; formula: =Net_Income/Revenue</t>
  </si>
  <si>
    <t>Season Analysis</t>
  </si>
  <si>
    <t>Average profit margin across households in segment</t>
  </si>
  <si>
    <t>Calculated field</t>
  </si>
  <si>
    <t>Share of HHs that used improved seed in this group</t>
  </si>
  <si>
    <t>0.0% –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</si>
</sst>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A1A1A"/>
      <name val="Arial"/>
      <family val="2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A6B3C"/>
        <bgColor rgb="FF2E8B57"/>
      </patternFill>
    </fill>
    <fill>
      <patternFill patternType="solid">
        <fgColor rgb="FF2E8B57"/>
        <bgColor rgb="FF1A6B3C"/>
      </patternFill>
    </fill>
    <fill>
      <patternFill patternType="solid">
        <fgColor rgb="FFF5F5F5"/>
        <bgColor rgb="FFFFFFFF"/>
      </patternFill>
    </fill>
    <fill>
      <patternFill patternType="solid">
        <fgColor rgb="FF4A4A4A"/>
        <bgColor rgb="FF333333"/>
      </patternFill>
    </fill>
    <fill>
      <patternFill patternType="solid">
        <fgColor rgb="FFD6EAD7"/>
        <bgColor rgb="FFD4EDDA"/>
      </patternFill>
    </fill>
    <fill>
      <patternFill patternType="solid">
        <fgColor rgb="FFFFF3CD"/>
        <bgColor rgb="FFFFEEBA"/>
      </patternFill>
    </fill>
    <fill>
      <patternFill patternType="solid">
        <fgColor rgb="FFD4EDDA"/>
        <bgColor rgb="FFD6EAD7"/>
      </patternFill>
    </fill>
    <fill>
      <patternFill patternType="solid">
        <fgColor rgb="FFCCE5FF"/>
        <bgColor rgb="FFD1ECF1"/>
      </patternFill>
    </fill>
    <fill>
      <patternFill patternType="solid">
        <fgColor rgb="FFF5C6CB"/>
        <bgColor rgb="FFF8D7DA"/>
      </patternFill>
    </fill>
    <fill>
      <patternFill patternType="solid">
        <fgColor rgb="FFC3E6CB"/>
        <bgColor rgb="FFD6EAD7"/>
      </patternFill>
    </fill>
    <fill>
      <patternFill patternType="solid">
        <fgColor rgb="FFD6D8D9"/>
        <bgColor rgb="FFE2D9F3"/>
      </patternFill>
    </fill>
    <fill>
      <patternFill patternType="solid">
        <fgColor rgb="FFD1ECF1"/>
        <bgColor rgb="FFCCE5FF"/>
      </patternFill>
    </fill>
    <fill>
      <patternFill patternType="solid">
        <fgColor rgb="FFF8D7DA"/>
        <bgColor rgb="FFF5C6CB"/>
      </patternFill>
    </fill>
    <fill>
      <patternFill patternType="solid">
        <fgColor rgb="FFE2D9F3"/>
        <bgColor rgb="FFD6D8D9"/>
      </patternFill>
    </fill>
    <fill>
      <patternFill patternType="solid">
        <fgColor rgb="FFFFEEBA"/>
        <b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/>
    <xf numFmtId="0" fontId="0" fillId="4" borderId="0" xfId="0" applyFill="1"/>
    <xf numFmtId="0" fontId="5" fillId="4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5" borderId="0" xfId="0" applyFont="1" applyFill="1"/>
    <xf numFmtId="0" fontId="6" fillId="5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4" fontId="7" fillId="6" borderId="1" xfId="0" applyNumberFormat="1" applyFont="1" applyFill="1" applyBorder="1" applyAlignment="1">
      <alignment vertical="center"/>
    </xf>
    <xf numFmtId="3" fontId="7" fillId="6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/>
    <xf numFmtId="164" fontId="7" fillId="6" borderId="1" xfId="0" applyNumberFormat="1" applyFont="1" applyFill="1" applyBorder="1"/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4" fontId="7" fillId="9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4" fontId="7" fillId="11" borderId="1" xfId="0" applyNumberFormat="1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4" fontId="7" fillId="12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4" fontId="7" fillId="13" borderId="1" xfId="0" applyNumberFormat="1" applyFont="1" applyFill="1" applyBorder="1" applyAlignment="1">
      <alignment horizontal="center" vertical="center"/>
    </xf>
    <xf numFmtId="3" fontId="7" fillId="13" borderId="1" xfId="0" applyNumberFormat="1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4" fontId="7" fillId="14" borderId="1" xfId="0" applyNumberFormat="1" applyFont="1" applyFill="1" applyBorder="1" applyAlignment="1">
      <alignment horizontal="center" vertical="center"/>
    </xf>
    <xf numFmtId="3" fontId="7" fillId="14" borderId="1" xfId="0" applyNumberFormat="1" applyFont="1" applyFill="1" applyBorder="1" applyAlignment="1">
      <alignment horizontal="center" vertical="center"/>
    </xf>
    <xf numFmtId="164" fontId="9" fillId="14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4" fontId="7" fillId="15" borderId="1" xfId="0" applyNumberFormat="1" applyFont="1" applyFill="1" applyBorder="1" applyAlignment="1">
      <alignment horizontal="center" vertical="center"/>
    </xf>
    <xf numFmtId="3" fontId="7" fillId="15" borderId="1" xfId="0" applyNumberFormat="1" applyFont="1" applyFill="1" applyBorder="1" applyAlignment="1">
      <alignment horizontal="center" vertical="center"/>
    </xf>
    <xf numFmtId="164" fontId="9" fillId="15" borderId="1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/>
    </xf>
    <xf numFmtId="4" fontId="7" fillId="16" borderId="1" xfId="0" applyNumberFormat="1" applyFont="1" applyFill="1" applyBorder="1" applyAlignment="1">
      <alignment horizontal="center" vertical="center"/>
    </xf>
    <xf numFmtId="3" fontId="7" fillId="16" borderId="1" xfId="0" applyNumberFormat="1" applyFont="1" applyFill="1" applyBorder="1" applyAlignment="1">
      <alignment horizontal="center" vertical="center"/>
    </xf>
    <xf numFmtId="164" fontId="9" fillId="16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vertical="center"/>
    </xf>
    <xf numFmtId="4" fontId="7" fillId="13" borderId="1" xfId="0" applyNumberFormat="1" applyFont="1" applyFill="1" applyBorder="1" applyAlignment="1">
      <alignment vertical="center"/>
    </xf>
    <xf numFmtId="3" fontId="7" fillId="13" borderId="1" xfId="0" applyNumberFormat="1" applyFont="1" applyFill="1" applyBorder="1" applyAlignment="1">
      <alignment vertical="center"/>
    </xf>
    <xf numFmtId="164" fontId="7" fillId="13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4" fontId="7" fillId="8" borderId="1" xfId="0" applyNumberFormat="1" applyFont="1" applyFill="1" applyBorder="1" applyAlignment="1">
      <alignment vertical="center"/>
    </xf>
    <xf numFmtId="3" fontId="7" fillId="8" borderId="1" xfId="0" applyNumberFormat="1" applyFont="1" applyFill="1" applyBorder="1" applyAlignment="1">
      <alignment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CCCCC"/>
      <rgbColor rgb="FF808080"/>
      <rgbColor rgb="FFD6EAD7"/>
      <rgbColor rgb="FF993366"/>
      <rgbColor rgb="FFFFF3CD"/>
      <rgbColor rgb="FFD1ECF1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E5FF"/>
      <rgbColor rgb="FFD4EDDA"/>
      <rgbColor rgb="FFFFEEBA"/>
      <rgbColor rgb="FFC3E6CB"/>
      <rgbColor rgb="FFF8D7DA"/>
      <rgbColor rgb="FFD6D8D9"/>
      <rgbColor rgb="FFF5C6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1A1A1A"/>
      <rgbColor rgb="FF993300"/>
      <rgbColor rgb="FF993366"/>
      <rgbColor rgb="FF4A4A4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SS_RawData" displayName="NASS_RawData" ref="A1:V491" totalsRowShown="0">
  <autoFilter ref="A1:V491" xr:uid="{00000000-0009-0000-0100-000001000000}"/>
  <tableColumns count="22">
    <tableColumn id="1" xr3:uid="{00000000-0010-0000-0000-000001000000}" name="Household_ID"/>
    <tableColumn id="2" xr3:uid="{00000000-0010-0000-0000-000002000000}" name="Geo_Zone"/>
    <tableColumn id="3" xr3:uid="{00000000-0010-0000-0000-000003000000}" name="State"/>
    <tableColumn id="4" xr3:uid="{00000000-0010-0000-0000-000004000000}" name="Season"/>
    <tableColumn id="5" xr3:uid="{00000000-0010-0000-0000-000005000000}" name="Crop_Type"/>
    <tableColumn id="6" xr3:uid="{00000000-0010-0000-0000-000006000000}" name="Area_Planted_ha"/>
    <tableColumn id="7" xr3:uid="{00000000-0010-0000-0000-000007000000}" name="Yield_t_ha"/>
    <tableColumn id="8" xr3:uid="{00000000-0010-0000-0000-000008000000}" name="Production_tonnes"/>
    <tableColumn id="9" xr3:uid="{00000000-0010-0000-0000-000009000000}" name="Farmgate_Price_NGN_t"/>
    <tableColumn id="10" xr3:uid="{00000000-0010-0000-0000-00000A000000}" name="Revenue_NGN"/>
    <tableColumn id="11" xr3:uid="{00000000-0010-0000-0000-00000B000000}" name="Total_Input_Cost_NGN"/>
    <tableColumn id="12" xr3:uid="{00000000-0010-0000-0000-00000C000000}" name="Net_Farm_Income_NGN"/>
    <tableColumn id="13" xr3:uid="{00000000-0010-0000-0000-00000D000000}" name="Seed_Cost_NGN"/>
    <tableColumn id="14" xr3:uid="{00000000-0010-0000-0000-00000E000000}" name="Fertiliser_Cost_NGN"/>
    <tableColumn id="15" xr3:uid="{00000000-0010-0000-0000-00000F000000}" name="Pesticide_Cost_NGN"/>
    <tableColumn id="16" xr3:uid="{00000000-0010-0000-0000-000010000000}" name="Labour_Cost_NGN"/>
    <tableColumn id="17" xr3:uid="{00000000-0010-0000-0000-000011000000}" name="Water_Source"/>
    <tableColumn id="18" xr3:uid="{00000000-0010-0000-0000-000012000000}" name="HH_Head_Gender"/>
    <tableColumn id="19" xr3:uid="{00000000-0010-0000-0000-000013000000}" name="HH_Size"/>
    <tableColumn id="20" xr3:uid="{00000000-0010-0000-0000-000014000000}" name="Farm_Size_Category"/>
    <tableColumn id="21" xr3:uid="{00000000-0010-0000-0000-000015000000}" name="Used_Improved_Seed"/>
    <tableColumn id="22" xr3:uid="{00000000-0010-0000-0000-000016000000}" name="Access_to_Exten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showGridLines="0" zoomScaleNormal="100" workbookViewId="0"/>
  </sheetViews>
  <sheetFormatPr defaultColWidth="8.6328125" defaultRowHeight="14.5" x14ac:dyDescent="0.35"/>
  <cols>
    <col min="2" max="2" width="28" customWidth="1"/>
    <col min="3" max="3" width="5" customWidth="1"/>
    <col min="4" max="4" width="55" customWidth="1"/>
  </cols>
  <sheetData>
    <row r="1" spans="2:10" ht="6" customHeight="1" x14ac:dyDescent="0.35"/>
    <row r="2" spans="2:10" ht="30" customHeight="1" x14ac:dyDescent="0.35">
      <c r="B2" s="4" t="s">
        <v>0</v>
      </c>
      <c r="C2" s="4"/>
      <c r="D2" s="4"/>
      <c r="E2" s="4"/>
      <c r="F2" s="4"/>
      <c r="G2" s="4"/>
      <c r="H2" s="4"/>
      <c r="I2" s="4"/>
      <c r="J2" s="4"/>
    </row>
    <row r="3" spans="2:10" x14ac:dyDescent="0.35">
      <c r="B3" s="4"/>
      <c r="C3" s="4"/>
      <c r="D3" s="4"/>
      <c r="E3" s="4"/>
      <c r="F3" s="4"/>
      <c r="G3" s="4"/>
      <c r="H3" s="4"/>
      <c r="I3" s="4"/>
      <c r="J3" s="4"/>
    </row>
    <row r="4" spans="2:10" x14ac:dyDescent="0.35">
      <c r="B4" s="4"/>
      <c r="C4" s="4"/>
      <c r="D4" s="4"/>
      <c r="E4" s="4"/>
      <c r="F4" s="4"/>
      <c r="G4" s="4"/>
      <c r="H4" s="4"/>
      <c r="I4" s="4"/>
      <c r="J4" s="4"/>
    </row>
    <row r="5" spans="2:10" ht="21.75" customHeight="1" x14ac:dyDescent="0.35">
      <c r="B5" s="3" t="s">
        <v>1</v>
      </c>
      <c r="C5" s="3"/>
      <c r="D5" s="3"/>
      <c r="E5" s="3"/>
      <c r="F5" s="3"/>
      <c r="G5" s="3"/>
      <c r="H5" s="3"/>
      <c r="I5" s="3"/>
      <c r="J5" s="3"/>
    </row>
    <row r="6" spans="2:10" x14ac:dyDescent="0.35">
      <c r="B6" s="3"/>
      <c r="C6" s="3"/>
      <c r="D6" s="3"/>
      <c r="E6" s="3"/>
      <c r="F6" s="3"/>
      <c r="G6" s="3"/>
      <c r="H6" s="3"/>
      <c r="I6" s="3"/>
      <c r="J6" s="3"/>
    </row>
    <row r="8" spans="2:10" ht="18" customHeight="1" x14ac:dyDescent="0.35">
      <c r="D8" s="5"/>
    </row>
    <row r="9" spans="2:10" ht="18" customHeight="1" x14ac:dyDescent="0.35">
      <c r="B9" s="2" t="s">
        <v>2</v>
      </c>
      <c r="C9" s="2"/>
      <c r="D9" s="2"/>
      <c r="E9" s="2"/>
      <c r="F9" s="2"/>
      <c r="G9" s="2"/>
      <c r="H9" s="2"/>
      <c r="I9" s="2"/>
      <c r="J9" s="2"/>
    </row>
    <row r="10" spans="2:10" ht="18" customHeight="1" x14ac:dyDescent="0.35">
      <c r="B10" s="6" t="s">
        <v>3</v>
      </c>
      <c r="C10" s="7"/>
      <c r="D10" s="8" t="s">
        <v>4</v>
      </c>
      <c r="E10" s="7"/>
      <c r="F10" s="7"/>
      <c r="G10" s="7"/>
      <c r="H10" s="7"/>
      <c r="I10" s="7"/>
      <c r="J10" s="7"/>
    </row>
    <row r="11" spans="2:10" ht="18" customHeight="1" x14ac:dyDescent="0.35">
      <c r="B11" s="9" t="s">
        <v>5</v>
      </c>
      <c r="D11" s="10" t="s">
        <v>6</v>
      </c>
    </row>
    <row r="12" spans="2:10" ht="18" customHeight="1" x14ac:dyDescent="0.35">
      <c r="B12" s="6" t="s">
        <v>7</v>
      </c>
      <c r="C12" s="7"/>
      <c r="D12" s="8" t="s">
        <v>8</v>
      </c>
      <c r="E12" s="7"/>
      <c r="F12" s="7"/>
      <c r="G12" s="7"/>
      <c r="H12" s="7"/>
      <c r="I12" s="7"/>
      <c r="J12" s="7"/>
    </row>
    <row r="13" spans="2:10" ht="18" customHeight="1" x14ac:dyDescent="0.35">
      <c r="B13" s="9" t="s">
        <v>9</v>
      </c>
      <c r="D13" s="10" t="s">
        <v>10</v>
      </c>
    </row>
    <row r="14" spans="2:10" ht="18" customHeight="1" x14ac:dyDescent="0.35">
      <c r="B14" s="6" t="s">
        <v>11</v>
      </c>
      <c r="C14" s="7"/>
      <c r="D14" s="8" t="s">
        <v>12</v>
      </c>
      <c r="E14" s="7"/>
      <c r="F14" s="7"/>
      <c r="G14" s="7"/>
      <c r="H14" s="7"/>
      <c r="I14" s="7"/>
      <c r="J14" s="7"/>
    </row>
    <row r="15" spans="2:10" ht="18" customHeight="1" x14ac:dyDescent="0.35">
      <c r="B15" s="9" t="s">
        <v>13</v>
      </c>
      <c r="D15" s="10" t="s">
        <v>14</v>
      </c>
    </row>
    <row r="16" spans="2:10" ht="18" customHeight="1" x14ac:dyDescent="0.35">
      <c r="B16" s="6" t="s">
        <v>15</v>
      </c>
      <c r="C16" s="7"/>
      <c r="D16" s="8" t="s">
        <v>16</v>
      </c>
      <c r="E16" s="7"/>
      <c r="F16" s="7"/>
      <c r="G16" s="7"/>
      <c r="H16" s="7"/>
      <c r="I16" s="7"/>
      <c r="J16" s="7"/>
    </row>
    <row r="17" spans="2:10" ht="18" customHeight="1" x14ac:dyDescent="0.35">
      <c r="D17" s="5"/>
    </row>
    <row r="18" spans="2:10" ht="18" customHeight="1" x14ac:dyDescent="0.35">
      <c r="B18" s="2" t="s">
        <v>17</v>
      </c>
      <c r="C18" s="2"/>
      <c r="D18" s="2"/>
      <c r="E18" s="2"/>
      <c r="F18" s="2"/>
      <c r="G18" s="2"/>
      <c r="H18" s="2"/>
      <c r="I18" s="2"/>
      <c r="J18" s="2"/>
    </row>
    <row r="19" spans="2:10" ht="18" customHeight="1" x14ac:dyDescent="0.35">
      <c r="B19" s="11" t="s">
        <v>18</v>
      </c>
      <c r="D19" s="12" t="s">
        <v>19</v>
      </c>
    </row>
    <row r="20" spans="2:10" ht="18" customHeight="1" x14ac:dyDescent="0.35">
      <c r="B20" s="6" t="s">
        <v>20</v>
      </c>
      <c r="C20" s="7"/>
      <c r="D20" s="8" t="s">
        <v>21</v>
      </c>
      <c r="E20" s="7"/>
      <c r="F20" s="7"/>
      <c r="G20" s="7"/>
      <c r="H20" s="7"/>
      <c r="I20" s="7"/>
      <c r="J20" s="7"/>
    </row>
    <row r="21" spans="2:10" ht="18" customHeight="1" x14ac:dyDescent="0.35">
      <c r="B21" s="9" t="s">
        <v>22</v>
      </c>
      <c r="D21" s="10" t="s">
        <v>23</v>
      </c>
    </row>
    <row r="22" spans="2:10" ht="18" customHeight="1" x14ac:dyDescent="0.35">
      <c r="B22" s="6" t="s">
        <v>24</v>
      </c>
      <c r="C22" s="7"/>
      <c r="D22" s="8" t="s">
        <v>25</v>
      </c>
      <c r="E22" s="7"/>
      <c r="F22" s="7"/>
      <c r="G22" s="7"/>
      <c r="H22" s="7"/>
      <c r="I22" s="7"/>
      <c r="J22" s="7"/>
    </row>
    <row r="23" spans="2:10" ht="18" customHeight="1" x14ac:dyDescent="0.35">
      <c r="B23" s="9" t="s">
        <v>26</v>
      </c>
      <c r="D23" s="10" t="s">
        <v>27</v>
      </c>
    </row>
    <row r="24" spans="2:10" ht="18" customHeight="1" x14ac:dyDescent="0.35">
      <c r="B24" s="6" t="s">
        <v>28</v>
      </c>
      <c r="C24" s="7"/>
      <c r="D24" s="8" t="s">
        <v>29</v>
      </c>
      <c r="E24" s="7"/>
      <c r="F24" s="7"/>
      <c r="G24" s="7"/>
      <c r="H24" s="7"/>
      <c r="I24" s="7"/>
      <c r="J24" s="7"/>
    </row>
    <row r="25" spans="2:10" ht="18" customHeight="1" x14ac:dyDescent="0.35">
      <c r="B25" s="9" t="s">
        <v>30</v>
      </c>
      <c r="D25" s="10" t="s">
        <v>31</v>
      </c>
    </row>
    <row r="26" spans="2:10" ht="18" customHeight="1" x14ac:dyDescent="0.35">
      <c r="D26" s="5"/>
    </row>
    <row r="27" spans="2:10" ht="18" customHeight="1" x14ac:dyDescent="0.35">
      <c r="B27" s="2" t="s">
        <v>32</v>
      </c>
      <c r="C27" s="2"/>
      <c r="D27" s="2"/>
      <c r="E27" s="2"/>
      <c r="F27" s="2"/>
      <c r="G27" s="2"/>
      <c r="H27" s="2"/>
      <c r="I27" s="2"/>
      <c r="J27" s="2"/>
    </row>
    <row r="28" spans="2:10" ht="18" customHeight="1" x14ac:dyDescent="0.35">
      <c r="B28" s="6" t="s">
        <v>33</v>
      </c>
      <c r="C28" s="7"/>
      <c r="D28" s="8" t="s">
        <v>34</v>
      </c>
      <c r="E28" s="7"/>
      <c r="F28" s="7"/>
      <c r="G28" s="7"/>
      <c r="H28" s="7"/>
      <c r="I28" s="7"/>
      <c r="J28" s="7"/>
    </row>
    <row r="29" spans="2:10" ht="18" customHeight="1" x14ac:dyDescent="0.35">
      <c r="B29" s="9" t="s">
        <v>35</v>
      </c>
      <c r="D29" s="10" t="s">
        <v>36</v>
      </c>
    </row>
    <row r="30" spans="2:10" ht="18" customHeight="1" x14ac:dyDescent="0.35">
      <c r="B30" s="6" t="s">
        <v>37</v>
      </c>
      <c r="C30" s="7"/>
      <c r="D30" s="8" t="s">
        <v>38</v>
      </c>
      <c r="E30" s="7"/>
      <c r="F30" s="7"/>
      <c r="G30" s="7"/>
      <c r="H30" s="7"/>
      <c r="I30" s="7"/>
      <c r="J30" s="7"/>
    </row>
    <row r="31" spans="2:10" ht="18" customHeight="1" x14ac:dyDescent="0.35">
      <c r="B31" s="9" t="s">
        <v>39</v>
      </c>
      <c r="D31" s="10" t="s">
        <v>40</v>
      </c>
    </row>
    <row r="32" spans="2:10" ht="18" customHeight="1" x14ac:dyDescent="0.35">
      <c r="D32" s="5"/>
    </row>
    <row r="33" spans="2:10" ht="18" customHeight="1" x14ac:dyDescent="0.35">
      <c r="B33" s="2" t="s">
        <v>41</v>
      </c>
      <c r="C33" s="2"/>
      <c r="D33" s="2"/>
      <c r="E33" s="2"/>
      <c r="F33" s="2"/>
      <c r="G33" s="2"/>
      <c r="H33" s="2"/>
      <c r="I33" s="2"/>
      <c r="J33" s="2"/>
    </row>
    <row r="34" spans="2:10" ht="18" customHeight="1" x14ac:dyDescent="0.35">
      <c r="B34" s="6" t="s">
        <v>42</v>
      </c>
      <c r="C34" s="7"/>
      <c r="D34" s="8" t="s">
        <v>43</v>
      </c>
      <c r="E34" s="7"/>
      <c r="F34" s="7"/>
      <c r="G34" s="7"/>
      <c r="H34" s="7"/>
      <c r="I34" s="7"/>
      <c r="J34" s="7"/>
    </row>
    <row r="35" spans="2:10" ht="18" customHeight="1" x14ac:dyDescent="0.35">
      <c r="B35" s="9" t="s">
        <v>44</v>
      </c>
      <c r="D35" s="10" t="s">
        <v>45</v>
      </c>
    </row>
    <row r="36" spans="2:10" ht="18" customHeight="1" x14ac:dyDescent="0.35">
      <c r="B36" s="6" t="s">
        <v>46</v>
      </c>
      <c r="C36" s="7"/>
      <c r="D36" s="8" t="s">
        <v>47</v>
      </c>
      <c r="E36" s="7"/>
      <c r="F36" s="7"/>
      <c r="G36" s="7"/>
      <c r="H36" s="7"/>
      <c r="I36" s="7"/>
      <c r="J36" s="7"/>
    </row>
  </sheetData>
  <mergeCells count="6">
    <mergeCell ref="B33:J33"/>
    <mergeCell ref="B2:J4"/>
    <mergeCell ref="B5:J6"/>
    <mergeCell ref="B9:J9"/>
    <mergeCell ref="B18:J18"/>
    <mergeCell ref="B27: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1"/>
  <sheetViews>
    <sheetView showGridLines="0" zoomScaleNormal="100" workbookViewId="0">
      <pane ySplit="1" topLeftCell="A176" activePane="bottomLeft" state="frozen"/>
      <selection pane="bottomLeft" activeCell="F4" sqref="F4"/>
    </sheetView>
  </sheetViews>
  <sheetFormatPr defaultColWidth="8.6328125" defaultRowHeight="14.5" x14ac:dyDescent="0.35"/>
  <cols>
    <col min="1" max="1" width="13" customWidth="1"/>
    <col min="2" max="2" width="16" customWidth="1"/>
    <col min="3" max="3" width="14" customWidth="1"/>
    <col min="4" max="4" width="22" customWidth="1"/>
    <col min="5" max="5" width="11" customWidth="1"/>
    <col min="6" max="6" width="12" customWidth="1"/>
    <col min="7" max="7" width="10" customWidth="1"/>
    <col min="8" max="8" width="14" customWidth="1"/>
    <col min="9" max="9" width="18" customWidth="1"/>
    <col min="10" max="10" width="14" customWidth="1"/>
    <col min="11" max="12" width="17" customWidth="1"/>
    <col min="13" max="13" width="12" customWidth="1"/>
    <col min="14" max="14" width="16" customWidth="1"/>
    <col min="15" max="15" width="14" customWidth="1"/>
    <col min="16" max="17" width="12" customWidth="1"/>
    <col min="18" max="18" width="13" customWidth="1"/>
    <col min="19" max="19" width="9" customWidth="1"/>
    <col min="20" max="20" width="18" customWidth="1"/>
    <col min="21" max="21" width="14" customWidth="1"/>
    <col min="22" max="22" width="16" customWidth="1"/>
  </cols>
  <sheetData>
    <row r="1" spans="1:22" ht="31.5" customHeight="1" x14ac:dyDescent="0.35">
      <c r="A1" s="13" t="s">
        <v>48</v>
      </c>
      <c r="B1" s="13" t="s">
        <v>49</v>
      </c>
      <c r="C1" s="13" t="s">
        <v>50</v>
      </c>
      <c r="D1" s="13" t="s">
        <v>51</v>
      </c>
      <c r="E1" s="13" t="s">
        <v>52</v>
      </c>
      <c r="F1" s="13" t="s">
        <v>53</v>
      </c>
      <c r="G1" s="13" t="s">
        <v>54</v>
      </c>
      <c r="H1" s="13" t="s">
        <v>55</v>
      </c>
      <c r="I1" s="13" t="s">
        <v>56</v>
      </c>
      <c r="J1" s="13" t="s">
        <v>57</v>
      </c>
      <c r="K1" s="13" t="s">
        <v>58</v>
      </c>
      <c r="L1" s="13" t="s">
        <v>59</v>
      </c>
      <c r="M1" s="13" t="s">
        <v>60</v>
      </c>
      <c r="N1" s="13" t="s">
        <v>61</v>
      </c>
      <c r="O1" s="13" t="s">
        <v>62</v>
      </c>
      <c r="P1" s="13" t="s">
        <v>63</v>
      </c>
      <c r="Q1" s="13" t="s">
        <v>64</v>
      </c>
      <c r="R1" s="13" t="s">
        <v>65</v>
      </c>
      <c r="S1" s="13" t="s">
        <v>66</v>
      </c>
      <c r="T1" s="13" t="s">
        <v>67</v>
      </c>
      <c r="U1" s="13" t="s">
        <v>68</v>
      </c>
      <c r="V1" s="13" t="s">
        <v>69</v>
      </c>
    </row>
    <row r="2" spans="1:22" x14ac:dyDescent="0.35">
      <c r="A2" s="14" t="s">
        <v>70</v>
      </c>
      <c r="B2" s="14" t="s">
        <v>71</v>
      </c>
      <c r="C2" s="14" t="s">
        <v>72</v>
      </c>
      <c r="D2" s="14" t="s">
        <v>73</v>
      </c>
      <c r="E2" s="14" t="s">
        <v>74</v>
      </c>
      <c r="F2" s="15">
        <v>2.2999999999999998</v>
      </c>
      <c r="G2" s="15">
        <v>7.2</v>
      </c>
      <c r="H2" s="15">
        <v>16.559999999999999</v>
      </c>
      <c r="I2" s="16">
        <v>160535</v>
      </c>
      <c r="J2" s="16">
        <v>2658460</v>
      </c>
      <c r="K2" s="16">
        <v>782516</v>
      </c>
      <c r="L2" s="16">
        <v>1875944</v>
      </c>
      <c r="M2" s="16">
        <v>156503</v>
      </c>
      <c r="N2" s="16">
        <v>297356</v>
      </c>
      <c r="O2" s="16">
        <v>93902</v>
      </c>
      <c r="P2" s="16">
        <v>234755</v>
      </c>
      <c r="Q2" s="14" t="s">
        <v>75</v>
      </c>
      <c r="R2" s="14" t="s">
        <v>76</v>
      </c>
      <c r="S2" s="14">
        <v>12</v>
      </c>
      <c r="T2" s="14" t="s">
        <v>77</v>
      </c>
      <c r="U2" s="14" t="s">
        <v>78</v>
      </c>
      <c r="V2" s="14" t="s">
        <v>78</v>
      </c>
    </row>
    <row r="3" spans="1:22" x14ac:dyDescent="0.35">
      <c r="A3" s="17" t="s">
        <v>79</v>
      </c>
      <c r="B3" s="17" t="s">
        <v>71</v>
      </c>
      <c r="C3" s="17" t="s">
        <v>72</v>
      </c>
      <c r="D3" s="17" t="s">
        <v>73</v>
      </c>
      <c r="E3" s="17" t="s">
        <v>80</v>
      </c>
      <c r="F3" s="18">
        <v>1.48</v>
      </c>
      <c r="G3" s="18">
        <v>15.05</v>
      </c>
      <c r="H3" s="18">
        <v>22.27</v>
      </c>
      <c r="I3" s="19">
        <v>81506</v>
      </c>
      <c r="J3" s="19">
        <v>1815139</v>
      </c>
      <c r="K3" s="19">
        <v>558767</v>
      </c>
      <c r="L3" s="19">
        <v>1256372</v>
      </c>
      <c r="M3" s="19">
        <v>111753</v>
      </c>
      <c r="N3" s="19">
        <v>212331</v>
      </c>
      <c r="O3" s="19">
        <v>67052</v>
      </c>
      <c r="P3" s="19">
        <v>167630</v>
      </c>
      <c r="Q3" s="17" t="s">
        <v>75</v>
      </c>
      <c r="R3" s="17" t="s">
        <v>81</v>
      </c>
      <c r="S3" s="17">
        <v>6</v>
      </c>
      <c r="T3" s="17" t="s">
        <v>82</v>
      </c>
      <c r="U3" s="17" t="s">
        <v>78</v>
      </c>
      <c r="V3" s="17" t="s">
        <v>83</v>
      </c>
    </row>
    <row r="4" spans="1:22" x14ac:dyDescent="0.35">
      <c r="A4" s="14" t="s">
        <v>84</v>
      </c>
      <c r="B4" s="14" t="s">
        <v>71</v>
      </c>
      <c r="C4" s="14" t="s">
        <v>72</v>
      </c>
      <c r="D4" s="14" t="s">
        <v>73</v>
      </c>
      <c r="E4" s="14" t="s">
        <v>85</v>
      </c>
      <c r="F4" s="15">
        <v>3.91</v>
      </c>
      <c r="G4" s="15">
        <v>1.1100000000000001</v>
      </c>
      <c r="H4" s="15">
        <v>4.34</v>
      </c>
      <c r="I4" s="16">
        <v>126982</v>
      </c>
      <c r="J4" s="16">
        <v>551102</v>
      </c>
      <c r="K4" s="16">
        <v>175748</v>
      </c>
      <c r="L4" s="16">
        <v>375354</v>
      </c>
      <c r="M4" s="16">
        <v>35150</v>
      </c>
      <c r="N4" s="16">
        <v>66784</v>
      </c>
      <c r="O4" s="16">
        <v>21090</v>
      </c>
      <c r="P4" s="16">
        <v>52724</v>
      </c>
      <c r="Q4" s="14" t="s">
        <v>86</v>
      </c>
      <c r="R4" s="14" t="s">
        <v>81</v>
      </c>
      <c r="S4" s="14">
        <v>4</v>
      </c>
      <c r="T4" s="14" t="s">
        <v>77</v>
      </c>
      <c r="U4" s="14" t="s">
        <v>78</v>
      </c>
      <c r="V4" s="14" t="s">
        <v>83</v>
      </c>
    </row>
    <row r="5" spans="1:22" x14ac:dyDescent="0.35">
      <c r="A5" s="17" t="s">
        <v>87</v>
      </c>
      <c r="B5" s="17" t="s">
        <v>71</v>
      </c>
      <c r="C5" s="17" t="s">
        <v>72</v>
      </c>
      <c r="D5" s="17" t="s">
        <v>88</v>
      </c>
      <c r="E5" s="17" t="s">
        <v>74</v>
      </c>
      <c r="F5" s="18">
        <v>2.59</v>
      </c>
      <c r="G5" s="18">
        <v>7.67</v>
      </c>
      <c r="H5" s="18">
        <v>19.87</v>
      </c>
      <c r="I5" s="19">
        <v>196585</v>
      </c>
      <c r="J5" s="19">
        <v>3906144</v>
      </c>
      <c r="K5" s="19">
        <v>1492782</v>
      </c>
      <c r="L5" s="19">
        <v>2413362</v>
      </c>
      <c r="M5" s="19">
        <v>298556</v>
      </c>
      <c r="N5" s="19">
        <v>567257</v>
      </c>
      <c r="O5" s="19">
        <v>179134</v>
      </c>
      <c r="P5" s="19">
        <v>447835</v>
      </c>
      <c r="Q5" s="17" t="s">
        <v>75</v>
      </c>
      <c r="R5" s="17" t="s">
        <v>76</v>
      </c>
      <c r="S5" s="17">
        <v>9</v>
      </c>
      <c r="T5" s="17" t="s">
        <v>77</v>
      </c>
      <c r="U5" s="17" t="s">
        <v>78</v>
      </c>
      <c r="V5" s="17" t="s">
        <v>83</v>
      </c>
    </row>
    <row r="6" spans="1:22" x14ac:dyDescent="0.35">
      <c r="A6" s="14" t="s">
        <v>89</v>
      </c>
      <c r="B6" s="14" t="s">
        <v>71</v>
      </c>
      <c r="C6" s="14" t="s">
        <v>72</v>
      </c>
      <c r="D6" s="14" t="s">
        <v>88</v>
      </c>
      <c r="E6" s="14" t="s">
        <v>85</v>
      </c>
      <c r="F6" s="15">
        <v>3.1</v>
      </c>
      <c r="G6" s="15">
        <v>1.34</v>
      </c>
      <c r="H6" s="15">
        <v>4.1500000000000004</v>
      </c>
      <c r="I6" s="16">
        <v>112287</v>
      </c>
      <c r="J6" s="16">
        <v>465991</v>
      </c>
      <c r="K6" s="16">
        <v>145345</v>
      </c>
      <c r="L6" s="16">
        <v>320646</v>
      </c>
      <c r="M6" s="16">
        <v>29069</v>
      </c>
      <c r="N6" s="16">
        <v>55231</v>
      </c>
      <c r="O6" s="16">
        <v>17441</v>
      </c>
      <c r="P6" s="16">
        <v>43604</v>
      </c>
      <c r="Q6" s="14" t="s">
        <v>90</v>
      </c>
      <c r="R6" s="14" t="s">
        <v>76</v>
      </c>
      <c r="S6" s="14">
        <v>6</v>
      </c>
      <c r="T6" s="14" t="s">
        <v>77</v>
      </c>
      <c r="U6" s="14" t="s">
        <v>78</v>
      </c>
      <c r="V6" s="14" t="s">
        <v>83</v>
      </c>
    </row>
    <row r="7" spans="1:22" x14ac:dyDescent="0.35">
      <c r="A7" s="17" t="s">
        <v>91</v>
      </c>
      <c r="B7" s="17" t="s">
        <v>71</v>
      </c>
      <c r="C7" s="17" t="s">
        <v>72</v>
      </c>
      <c r="D7" s="17" t="s">
        <v>88</v>
      </c>
      <c r="E7" s="17" t="s">
        <v>85</v>
      </c>
      <c r="F7" s="18">
        <v>3.36</v>
      </c>
      <c r="G7" s="18">
        <v>1.0900000000000001</v>
      </c>
      <c r="H7" s="18">
        <v>3.66</v>
      </c>
      <c r="I7" s="19">
        <v>124937</v>
      </c>
      <c r="J7" s="19">
        <v>457269</v>
      </c>
      <c r="K7" s="19">
        <v>141447</v>
      </c>
      <c r="L7" s="19">
        <v>315822</v>
      </c>
      <c r="M7" s="19">
        <v>28289</v>
      </c>
      <c r="N7" s="19">
        <v>53750</v>
      </c>
      <c r="O7" s="19">
        <v>16974</v>
      </c>
      <c r="P7" s="19">
        <v>42434</v>
      </c>
      <c r="Q7" s="17" t="s">
        <v>90</v>
      </c>
      <c r="R7" s="17" t="s">
        <v>76</v>
      </c>
      <c r="S7" s="17">
        <v>12</v>
      </c>
      <c r="T7" s="17" t="s">
        <v>77</v>
      </c>
      <c r="U7" s="17" t="s">
        <v>83</v>
      </c>
      <c r="V7" s="17" t="s">
        <v>78</v>
      </c>
    </row>
    <row r="8" spans="1:22" x14ac:dyDescent="0.35">
      <c r="A8" s="14" t="s">
        <v>92</v>
      </c>
      <c r="B8" s="14" t="s">
        <v>71</v>
      </c>
      <c r="C8" s="14" t="s">
        <v>72</v>
      </c>
      <c r="D8" s="14" t="s">
        <v>73</v>
      </c>
      <c r="E8" s="14" t="s">
        <v>93</v>
      </c>
      <c r="F8" s="15">
        <v>0.99</v>
      </c>
      <c r="G8" s="15">
        <v>1.02</v>
      </c>
      <c r="H8" s="15">
        <v>1.01</v>
      </c>
      <c r="I8" s="16">
        <v>435806</v>
      </c>
      <c r="J8" s="16">
        <v>440164</v>
      </c>
      <c r="K8" s="16">
        <v>162685</v>
      </c>
      <c r="L8" s="16">
        <v>277479</v>
      </c>
      <c r="M8" s="16">
        <v>32537</v>
      </c>
      <c r="N8" s="16">
        <v>61820</v>
      </c>
      <c r="O8" s="16">
        <v>19522</v>
      </c>
      <c r="P8" s="16">
        <v>48806</v>
      </c>
      <c r="Q8" s="14" t="s">
        <v>75</v>
      </c>
      <c r="R8" s="14" t="s">
        <v>76</v>
      </c>
      <c r="S8" s="14">
        <v>8</v>
      </c>
      <c r="T8" s="14" t="s">
        <v>82</v>
      </c>
      <c r="U8" s="14" t="s">
        <v>78</v>
      </c>
      <c r="V8" s="14" t="s">
        <v>78</v>
      </c>
    </row>
    <row r="9" spans="1:22" x14ac:dyDescent="0.35">
      <c r="A9" s="17" t="s">
        <v>94</v>
      </c>
      <c r="B9" s="17" t="s">
        <v>71</v>
      </c>
      <c r="C9" s="17" t="s">
        <v>72</v>
      </c>
      <c r="D9" s="17" t="s">
        <v>88</v>
      </c>
      <c r="E9" s="17" t="s">
        <v>80</v>
      </c>
      <c r="F9" s="18">
        <v>2.31</v>
      </c>
      <c r="G9" s="18">
        <v>9.43</v>
      </c>
      <c r="H9" s="18">
        <v>21.78</v>
      </c>
      <c r="I9" s="19">
        <v>106774</v>
      </c>
      <c r="J9" s="19">
        <v>2325538</v>
      </c>
      <c r="K9" s="19">
        <v>835810</v>
      </c>
      <c r="L9" s="19">
        <v>1489728</v>
      </c>
      <c r="M9" s="19">
        <v>167162</v>
      </c>
      <c r="N9" s="19">
        <v>317608</v>
      </c>
      <c r="O9" s="19">
        <v>100297</v>
      </c>
      <c r="P9" s="19">
        <v>250743</v>
      </c>
      <c r="Q9" s="17" t="s">
        <v>75</v>
      </c>
      <c r="R9" s="17" t="s">
        <v>81</v>
      </c>
      <c r="S9" s="17">
        <v>6</v>
      </c>
      <c r="T9" s="17" t="s">
        <v>77</v>
      </c>
      <c r="U9" s="17" t="s">
        <v>83</v>
      </c>
      <c r="V9" s="17" t="s">
        <v>83</v>
      </c>
    </row>
    <row r="10" spans="1:22" x14ac:dyDescent="0.35">
      <c r="A10" s="14" t="s">
        <v>95</v>
      </c>
      <c r="B10" s="14" t="s">
        <v>71</v>
      </c>
      <c r="C10" s="14" t="s">
        <v>72</v>
      </c>
      <c r="D10" s="14" t="s">
        <v>88</v>
      </c>
      <c r="E10" s="14" t="s">
        <v>96</v>
      </c>
      <c r="F10" s="15">
        <v>0.61</v>
      </c>
      <c r="G10" s="15">
        <v>0.47</v>
      </c>
      <c r="H10" s="15">
        <v>0.28999999999999998</v>
      </c>
      <c r="I10" s="16">
        <v>418664</v>
      </c>
      <c r="J10" s="16">
        <v>121413</v>
      </c>
      <c r="K10" s="16">
        <v>43157</v>
      </c>
      <c r="L10" s="16">
        <v>78256</v>
      </c>
      <c r="M10" s="16">
        <v>8631</v>
      </c>
      <c r="N10" s="16">
        <v>16400</v>
      </c>
      <c r="O10" s="16">
        <v>5179</v>
      </c>
      <c r="P10" s="16">
        <v>12947</v>
      </c>
      <c r="Q10" s="14" t="s">
        <v>75</v>
      </c>
      <c r="R10" s="14" t="s">
        <v>81</v>
      </c>
      <c r="S10" s="14">
        <v>12</v>
      </c>
      <c r="T10" s="14" t="s">
        <v>82</v>
      </c>
      <c r="U10" s="14" t="s">
        <v>78</v>
      </c>
      <c r="V10" s="14" t="s">
        <v>83</v>
      </c>
    </row>
    <row r="11" spans="1:22" x14ac:dyDescent="0.35">
      <c r="A11" s="17" t="s">
        <v>97</v>
      </c>
      <c r="B11" s="17" t="s">
        <v>71</v>
      </c>
      <c r="C11" s="17" t="s">
        <v>72</v>
      </c>
      <c r="D11" s="17" t="s">
        <v>73</v>
      </c>
      <c r="E11" s="17" t="s">
        <v>98</v>
      </c>
      <c r="F11" s="18">
        <v>2.0299999999999998</v>
      </c>
      <c r="G11" s="18">
        <v>1.66</v>
      </c>
      <c r="H11" s="18">
        <v>3.37</v>
      </c>
      <c r="I11" s="19">
        <v>285165</v>
      </c>
      <c r="J11" s="19">
        <v>961006</v>
      </c>
      <c r="K11" s="19">
        <v>283834</v>
      </c>
      <c r="L11" s="19">
        <v>677172</v>
      </c>
      <c r="M11" s="19">
        <v>56767</v>
      </c>
      <c r="N11" s="19">
        <v>107857</v>
      </c>
      <c r="O11" s="19">
        <v>34060</v>
      </c>
      <c r="P11" s="19">
        <v>85150</v>
      </c>
      <c r="Q11" s="17" t="s">
        <v>75</v>
      </c>
      <c r="R11" s="17" t="s">
        <v>76</v>
      </c>
      <c r="S11" s="17">
        <v>9</v>
      </c>
      <c r="T11" s="17" t="s">
        <v>77</v>
      </c>
      <c r="U11" s="17" t="s">
        <v>83</v>
      </c>
      <c r="V11" s="17" t="s">
        <v>78</v>
      </c>
    </row>
    <row r="12" spans="1:22" x14ac:dyDescent="0.35">
      <c r="A12" s="14" t="s">
        <v>99</v>
      </c>
      <c r="B12" s="14" t="s">
        <v>71</v>
      </c>
      <c r="C12" s="14" t="s">
        <v>72</v>
      </c>
      <c r="D12" s="14" t="s">
        <v>88</v>
      </c>
      <c r="E12" s="14" t="s">
        <v>96</v>
      </c>
      <c r="F12" s="15">
        <v>1.61</v>
      </c>
      <c r="G12" s="15">
        <v>0.57999999999999996</v>
      </c>
      <c r="H12" s="15">
        <v>0.93</v>
      </c>
      <c r="I12" s="16">
        <v>360915</v>
      </c>
      <c r="J12" s="16">
        <v>335651</v>
      </c>
      <c r="K12" s="16">
        <v>119979</v>
      </c>
      <c r="L12" s="16">
        <v>215672</v>
      </c>
      <c r="M12" s="16">
        <v>23996</v>
      </c>
      <c r="N12" s="16">
        <v>45592</v>
      </c>
      <c r="O12" s="16">
        <v>14397</v>
      </c>
      <c r="P12" s="16">
        <v>35994</v>
      </c>
      <c r="Q12" s="14" t="s">
        <v>86</v>
      </c>
      <c r="R12" s="14" t="s">
        <v>76</v>
      </c>
      <c r="S12" s="14">
        <v>11</v>
      </c>
      <c r="T12" s="14" t="s">
        <v>82</v>
      </c>
      <c r="U12" s="14" t="s">
        <v>78</v>
      </c>
      <c r="V12" s="14" t="s">
        <v>83</v>
      </c>
    </row>
    <row r="13" spans="1:22" x14ac:dyDescent="0.35">
      <c r="A13" s="17" t="s">
        <v>100</v>
      </c>
      <c r="B13" s="17" t="s">
        <v>71</v>
      </c>
      <c r="C13" s="17" t="s">
        <v>72</v>
      </c>
      <c r="D13" s="17" t="s">
        <v>73</v>
      </c>
      <c r="E13" s="17" t="s">
        <v>101</v>
      </c>
      <c r="F13" s="18">
        <v>2.11</v>
      </c>
      <c r="G13" s="18">
        <v>0.95</v>
      </c>
      <c r="H13" s="18">
        <v>2</v>
      </c>
      <c r="I13" s="19">
        <v>106372</v>
      </c>
      <c r="J13" s="19">
        <v>212744</v>
      </c>
      <c r="K13" s="19">
        <v>81075</v>
      </c>
      <c r="L13" s="19">
        <v>131669</v>
      </c>
      <c r="M13" s="19">
        <v>16215</v>
      </c>
      <c r="N13" s="19">
        <v>30808</v>
      </c>
      <c r="O13" s="19">
        <v>9729</v>
      </c>
      <c r="P13" s="19">
        <v>24322</v>
      </c>
      <c r="Q13" s="17" t="s">
        <v>75</v>
      </c>
      <c r="R13" s="17" t="s">
        <v>81</v>
      </c>
      <c r="S13" s="17">
        <v>11</v>
      </c>
      <c r="T13" s="17" t="s">
        <v>77</v>
      </c>
      <c r="U13" s="17" t="s">
        <v>78</v>
      </c>
      <c r="V13" s="17" t="s">
        <v>83</v>
      </c>
    </row>
    <row r="14" spans="1:22" x14ac:dyDescent="0.35">
      <c r="A14" s="14" t="s">
        <v>102</v>
      </c>
      <c r="B14" s="14" t="s">
        <v>71</v>
      </c>
      <c r="C14" s="14" t="s">
        <v>72</v>
      </c>
      <c r="D14" s="14" t="s">
        <v>88</v>
      </c>
      <c r="E14" s="14" t="s">
        <v>74</v>
      </c>
      <c r="F14" s="15">
        <v>2.57</v>
      </c>
      <c r="G14" s="15">
        <v>7.26</v>
      </c>
      <c r="H14" s="15">
        <v>18.66</v>
      </c>
      <c r="I14" s="16">
        <v>163741</v>
      </c>
      <c r="J14" s="16">
        <v>3055407</v>
      </c>
      <c r="K14" s="16">
        <v>1015458</v>
      </c>
      <c r="L14" s="16">
        <v>2039949</v>
      </c>
      <c r="M14" s="16">
        <v>203092</v>
      </c>
      <c r="N14" s="16">
        <v>385874</v>
      </c>
      <c r="O14" s="16">
        <v>121855</v>
      </c>
      <c r="P14" s="16">
        <v>304637</v>
      </c>
      <c r="Q14" s="14" t="s">
        <v>86</v>
      </c>
      <c r="R14" s="14" t="s">
        <v>76</v>
      </c>
      <c r="S14" s="14">
        <v>12</v>
      </c>
      <c r="T14" s="14" t="s">
        <v>77</v>
      </c>
      <c r="U14" s="14" t="s">
        <v>78</v>
      </c>
      <c r="V14" s="14" t="s">
        <v>83</v>
      </c>
    </row>
    <row r="15" spans="1:22" x14ac:dyDescent="0.35">
      <c r="A15" s="17" t="s">
        <v>103</v>
      </c>
      <c r="B15" s="17" t="s">
        <v>71</v>
      </c>
      <c r="C15" s="17" t="s">
        <v>72</v>
      </c>
      <c r="D15" s="17" t="s">
        <v>73</v>
      </c>
      <c r="E15" s="17" t="s">
        <v>80</v>
      </c>
      <c r="F15" s="18">
        <v>4.68</v>
      </c>
      <c r="G15" s="18">
        <v>18.41</v>
      </c>
      <c r="H15" s="18">
        <v>86.16</v>
      </c>
      <c r="I15" s="19">
        <v>104452</v>
      </c>
      <c r="J15" s="19">
        <v>8999584</v>
      </c>
      <c r="K15" s="19">
        <v>2907333</v>
      </c>
      <c r="L15" s="19">
        <v>6092251</v>
      </c>
      <c r="M15" s="19">
        <v>581467</v>
      </c>
      <c r="N15" s="19">
        <v>1104787</v>
      </c>
      <c r="O15" s="19">
        <v>348880</v>
      </c>
      <c r="P15" s="19">
        <v>872200</v>
      </c>
      <c r="Q15" s="17" t="s">
        <v>86</v>
      </c>
      <c r="R15" s="17" t="s">
        <v>76</v>
      </c>
      <c r="S15" s="17">
        <v>12</v>
      </c>
      <c r="T15" s="17" t="s">
        <v>77</v>
      </c>
      <c r="U15" s="17" t="s">
        <v>78</v>
      </c>
      <c r="V15" s="17" t="s">
        <v>78</v>
      </c>
    </row>
    <row r="16" spans="1:22" x14ac:dyDescent="0.35">
      <c r="A16" s="14" t="s">
        <v>104</v>
      </c>
      <c r="B16" s="14" t="s">
        <v>71</v>
      </c>
      <c r="C16" s="14" t="s">
        <v>72</v>
      </c>
      <c r="D16" s="14" t="s">
        <v>73</v>
      </c>
      <c r="E16" s="14" t="s">
        <v>105</v>
      </c>
      <c r="F16" s="15">
        <v>2.94</v>
      </c>
      <c r="G16" s="15">
        <v>1.33</v>
      </c>
      <c r="H16" s="15">
        <v>3.91</v>
      </c>
      <c r="I16" s="16">
        <v>372846</v>
      </c>
      <c r="J16" s="16">
        <v>1457828</v>
      </c>
      <c r="K16" s="16">
        <v>542844</v>
      </c>
      <c r="L16" s="16">
        <v>914984</v>
      </c>
      <c r="M16" s="16">
        <v>108569</v>
      </c>
      <c r="N16" s="16">
        <v>206281</v>
      </c>
      <c r="O16" s="16">
        <v>65141</v>
      </c>
      <c r="P16" s="16">
        <v>162853</v>
      </c>
      <c r="Q16" s="14" t="s">
        <v>75</v>
      </c>
      <c r="R16" s="14" t="s">
        <v>76</v>
      </c>
      <c r="S16" s="14">
        <v>7</v>
      </c>
      <c r="T16" s="14" t="s">
        <v>77</v>
      </c>
      <c r="U16" s="14" t="s">
        <v>83</v>
      </c>
      <c r="V16" s="14" t="s">
        <v>83</v>
      </c>
    </row>
    <row r="17" spans="1:22" x14ac:dyDescent="0.35">
      <c r="A17" s="17" t="s">
        <v>106</v>
      </c>
      <c r="B17" s="17" t="s">
        <v>71</v>
      </c>
      <c r="C17" s="17" t="s">
        <v>72</v>
      </c>
      <c r="D17" s="17" t="s">
        <v>73</v>
      </c>
      <c r="E17" s="17" t="s">
        <v>96</v>
      </c>
      <c r="F17" s="18">
        <v>2.34</v>
      </c>
      <c r="G17" s="18">
        <v>0.81</v>
      </c>
      <c r="H17" s="18">
        <v>1.9</v>
      </c>
      <c r="I17" s="19">
        <v>412215</v>
      </c>
      <c r="J17" s="19">
        <v>783208</v>
      </c>
      <c r="K17" s="19">
        <v>297472</v>
      </c>
      <c r="L17" s="19">
        <v>485736</v>
      </c>
      <c r="M17" s="19">
        <v>59494</v>
      </c>
      <c r="N17" s="19">
        <v>113039</v>
      </c>
      <c r="O17" s="19">
        <v>35697</v>
      </c>
      <c r="P17" s="19">
        <v>89242</v>
      </c>
      <c r="Q17" s="17" t="s">
        <v>90</v>
      </c>
      <c r="R17" s="17" t="s">
        <v>81</v>
      </c>
      <c r="S17" s="17">
        <v>10</v>
      </c>
      <c r="T17" s="17" t="s">
        <v>77</v>
      </c>
      <c r="U17" s="17" t="s">
        <v>83</v>
      </c>
      <c r="V17" s="17" t="s">
        <v>83</v>
      </c>
    </row>
    <row r="18" spans="1:22" x14ac:dyDescent="0.35">
      <c r="A18" s="14" t="s">
        <v>107</v>
      </c>
      <c r="B18" s="14" t="s">
        <v>71</v>
      </c>
      <c r="C18" s="14" t="s">
        <v>72</v>
      </c>
      <c r="D18" s="14" t="s">
        <v>73</v>
      </c>
      <c r="E18" s="14" t="s">
        <v>74</v>
      </c>
      <c r="F18" s="15">
        <v>0.91</v>
      </c>
      <c r="G18" s="15">
        <v>7.67</v>
      </c>
      <c r="H18" s="15">
        <v>6.98</v>
      </c>
      <c r="I18" s="16">
        <v>184769</v>
      </c>
      <c r="J18" s="16">
        <v>1289688</v>
      </c>
      <c r="K18" s="16">
        <v>402661</v>
      </c>
      <c r="L18" s="16">
        <v>887027</v>
      </c>
      <c r="M18" s="16">
        <v>80532</v>
      </c>
      <c r="N18" s="16">
        <v>153011</v>
      </c>
      <c r="O18" s="16">
        <v>48319</v>
      </c>
      <c r="P18" s="16">
        <v>120798</v>
      </c>
      <c r="Q18" s="14" t="s">
        <v>86</v>
      </c>
      <c r="R18" s="14" t="s">
        <v>76</v>
      </c>
      <c r="S18" s="14">
        <v>4</v>
      </c>
      <c r="T18" s="14" t="s">
        <v>82</v>
      </c>
      <c r="U18" s="14" t="s">
        <v>83</v>
      </c>
      <c r="V18" s="14" t="s">
        <v>83</v>
      </c>
    </row>
    <row r="19" spans="1:22" x14ac:dyDescent="0.35">
      <c r="A19" s="17" t="s">
        <v>108</v>
      </c>
      <c r="B19" s="17" t="s">
        <v>71</v>
      </c>
      <c r="C19" s="17" t="s">
        <v>72</v>
      </c>
      <c r="D19" s="17" t="s">
        <v>73</v>
      </c>
      <c r="E19" s="17" t="s">
        <v>80</v>
      </c>
      <c r="F19" s="18">
        <v>0.8</v>
      </c>
      <c r="G19" s="18">
        <v>10.78</v>
      </c>
      <c r="H19" s="18">
        <v>8.6199999999999992</v>
      </c>
      <c r="I19" s="19">
        <v>90167</v>
      </c>
      <c r="J19" s="19">
        <v>777240</v>
      </c>
      <c r="K19" s="19">
        <v>273574</v>
      </c>
      <c r="L19" s="19">
        <v>503666</v>
      </c>
      <c r="M19" s="19">
        <v>54715</v>
      </c>
      <c r="N19" s="19">
        <v>103958</v>
      </c>
      <c r="O19" s="19">
        <v>32829</v>
      </c>
      <c r="P19" s="19">
        <v>82072</v>
      </c>
      <c r="Q19" s="17" t="s">
        <v>90</v>
      </c>
      <c r="R19" s="17" t="s">
        <v>81</v>
      </c>
      <c r="S19" s="17">
        <v>6</v>
      </c>
      <c r="T19" s="17" t="s">
        <v>82</v>
      </c>
      <c r="U19" s="17" t="s">
        <v>83</v>
      </c>
      <c r="V19" s="17" t="s">
        <v>78</v>
      </c>
    </row>
    <row r="20" spans="1:22" x14ac:dyDescent="0.35">
      <c r="A20" s="14" t="s">
        <v>109</v>
      </c>
      <c r="B20" s="14" t="s">
        <v>71</v>
      </c>
      <c r="C20" s="14" t="s">
        <v>110</v>
      </c>
      <c r="D20" s="14" t="s">
        <v>88</v>
      </c>
      <c r="E20" s="14" t="s">
        <v>111</v>
      </c>
      <c r="F20" s="15">
        <v>1.35</v>
      </c>
      <c r="G20" s="15">
        <v>0.75</v>
      </c>
      <c r="H20" s="15">
        <v>1.01</v>
      </c>
      <c r="I20" s="16">
        <v>476338</v>
      </c>
      <c r="J20" s="16">
        <v>481101</v>
      </c>
      <c r="K20" s="16">
        <v>141062</v>
      </c>
      <c r="L20" s="16">
        <v>340039</v>
      </c>
      <c r="M20" s="16">
        <v>28212</v>
      </c>
      <c r="N20" s="16">
        <v>53604</v>
      </c>
      <c r="O20" s="16">
        <v>16927</v>
      </c>
      <c r="P20" s="16">
        <v>42319</v>
      </c>
      <c r="Q20" s="14" t="s">
        <v>75</v>
      </c>
      <c r="R20" s="14" t="s">
        <v>81</v>
      </c>
      <c r="S20" s="14">
        <v>8</v>
      </c>
      <c r="T20" s="14" t="s">
        <v>82</v>
      </c>
      <c r="U20" s="14" t="s">
        <v>78</v>
      </c>
      <c r="V20" s="14" t="s">
        <v>83</v>
      </c>
    </row>
    <row r="21" spans="1:22" x14ac:dyDescent="0.35">
      <c r="A21" s="17" t="s">
        <v>112</v>
      </c>
      <c r="B21" s="17" t="s">
        <v>71</v>
      </c>
      <c r="C21" s="17" t="s">
        <v>110</v>
      </c>
      <c r="D21" s="17" t="s">
        <v>73</v>
      </c>
      <c r="E21" s="17" t="s">
        <v>105</v>
      </c>
      <c r="F21" s="18">
        <v>2.12</v>
      </c>
      <c r="G21" s="18">
        <v>1.68</v>
      </c>
      <c r="H21" s="18">
        <v>3.56</v>
      </c>
      <c r="I21" s="19">
        <v>369401</v>
      </c>
      <c r="J21" s="19">
        <v>1315068</v>
      </c>
      <c r="K21" s="19">
        <v>442345</v>
      </c>
      <c r="L21" s="19">
        <v>872723</v>
      </c>
      <c r="M21" s="19">
        <v>88469</v>
      </c>
      <c r="N21" s="19">
        <v>168091</v>
      </c>
      <c r="O21" s="19">
        <v>53081</v>
      </c>
      <c r="P21" s="19">
        <v>132704</v>
      </c>
      <c r="Q21" s="17" t="s">
        <v>90</v>
      </c>
      <c r="R21" s="17" t="s">
        <v>76</v>
      </c>
      <c r="S21" s="17">
        <v>6</v>
      </c>
      <c r="T21" s="17" t="s">
        <v>77</v>
      </c>
      <c r="U21" s="17" t="s">
        <v>78</v>
      </c>
      <c r="V21" s="17" t="s">
        <v>78</v>
      </c>
    </row>
    <row r="22" spans="1:22" x14ac:dyDescent="0.35">
      <c r="A22" s="14" t="s">
        <v>113</v>
      </c>
      <c r="B22" s="14" t="s">
        <v>71</v>
      </c>
      <c r="C22" s="14" t="s">
        <v>110</v>
      </c>
      <c r="D22" s="14" t="s">
        <v>88</v>
      </c>
      <c r="E22" s="14" t="s">
        <v>93</v>
      </c>
      <c r="F22" s="15">
        <v>0.92</v>
      </c>
      <c r="G22" s="15">
        <v>0.76</v>
      </c>
      <c r="H22" s="15">
        <v>0.7</v>
      </c>
      <c r="I22" s="16">
        <v>375740</v>
      </c>
      <c r="J22" s="16">
        <v>263018</v>
      </c>
      <c r="K22" s="16">
        <v>105846</v>
      </c>
      <c r="L22" s="16">
        <v>157172</v>
      </c>
      <c r="M22" s="16">
        <v>21169</v>
      </c>
      <c r="N22" s="16">
        <v>40221</v>
      </c>
      <c r="O22" s="16">
        <v>12702</v>
      </c>
      <c r="P22" s="16">
        <v>31754</v>
      </c>
      <c r="Q22" s="14" t="s">
        <v>86</v>
      </c>
      <c r="R22" s="14" t="s">
        <v>81</v>
      </c>
      <c r="S22" s="14">
        <v>11</v>
      </c>
      <c r="T22" s="14" t="s">
        <v>82</v>
      </c>
      <c r="U22" s="14" t="s">
        <v>78</v>
      </c>
      <c r="V22" s="14" t="s">
        <v>78</v>
      </c>
    </row>
    <row r="23" spans="1:22" x14ac:dyDescent="0.35">
      <c r="A23" s="17" t="s">
        <v>114</v>
      </c>
      <c r="B23" s="17" t="s">
        <v>71</v>
      </c>
      <c r="C23" s="17" t="s">
        <v>110</v>
      </c>
      <c r="D23" s="17" t="s">
        <v>73</v>
      </c>
      <c r="E23" s="17" t="s">
        <v>93</v>
      </c>
      <c r="F23" s="18">
        <v>3.41</v>
      </c>
      <c r="G23" s="18">
        <v>1.38</v>
      </c>
      <c r="H23" s="18">
        <v>4.71</v>
      </c>
      <c r="I23" s="19">
        <v>419751</v>
      </c>
      <c r="J23" s="19">
        <v>1977027</v>
      </c>
      <c r="K23" s="19">
        <v>599600</v>
      </c>
      <c r="L23" s="19">
        <v>1377427</v>
      </c>
      <c r="M23" s="19">
        <v>119920</v>
      </c>
      <c r="N23" s="19">
        <v>227848</v>
      </c>
      <c r="O23" s="19">
        <v>71952</v>
      </c>
      <c r="P23" s="19">
        <v>179880</v>
      </c>
      <c r="Q23" s="17" t="s">
        <v>90</v>
      </c>
      <c r="R23" s="17" t="s">
        <v>81</v>
      </c>
      <c r="S23" s="17">
        <v>6</v>
      </c>
      <c r="T23" s="17" t="s">
        <v>77</v>
      </c>
      <c r="U23" s="17" t="s">
        <v>78</v>
      </c>
      <c r="V23" s="17" t="s">
        <v>78</v>
      </c>
    </row>
    <row r="24" spans="1:22" x14ac:dyDescent="0.35">
      <c r="A24" s="14" t="s">
        <v>115</v>
      </c>
      <c r="B24" s="14" t="s">
        <v>71</v>
      </c>
      <c r="C24" s="14" t="s">
        <v>110</v>
      </c>
      <c r="D24" s="14" t="s">
        <v>88</v>
      </c>
      <c r="E24" s="14" t="s">
        <v>116</v>
      </c>
      <c r="F24" s="15">
        <v>0.51</v>
      </c>
      <c r="G24" s="15">
        <v>1.43</v>
      </c>
      <c r="H24" s="15">
        <v>0.73</v>
      </c>
      <c r="I24" s="16">
        <v>163554</v>
      </c>
      <c r="J24" s="16">
        <v>119394</v>
      </c>
      <c r="K24" s="16">
        <v>46554</v>
      </c>
      <c r="L24" s="16">
        <v>72840</v>
      </c>
      <c r="M24" s="16">
        <v>9311</v>
      </c>
      <c r="N24" s="16">
        <v>17691</v>
      </c>
      <c r="O24" s="16">
        <v>5586</v>
      </c>
      <c r="P24" s="16">
        <v>13966</v>
      </c>
      <c r="Q24" s="14" t="s">
        <v>90</v>
      </c>
      <c r="R24" s="14" t="s">
        <v>81</v>
      </c>
      <c r="S24" s="14">
        <v>11</v>
      </c>
      <c r="T24" s="14" t="s">
        <v>82</v>
      </c>
      <c r="U24" s="14" t="s">
        <v>83</v>
      </c>
      <c r="V24" s="14" t="s">
        <v>83</v>
      </c>
    </row>
    <row r="25" spans="1:22" x14ac:dyDescent="0.35">
      <c r="A25" s="17" t="s">
        <v>117</v>
      </c>
      <c r="B25" s="17" t="s">
        <v>71</v>
      </c>
      <c r="C25" s="17" t="s">
        <v>110</v>
      </c>
      <c r="D25" s="17" t="s">
        <v>73</v>
      </c>
      <c r="E25" s="17" t="s">
        <v>105</v>
      </c>
      <c r="F25" s="18">
        <v>0.81</v>
      </c>
      <c r="G25" s="18">
        <v>1.08</v>
      </c>
      <c r="H25" s="18">
        <v>0.87</v>
      </c>
      <c r="I25" s="19">
        <v>364369</v>
      </c>
      <c r="J25" s="19">
        <v>317001</v>
      </c>
      <c r="K25" s="19">
        <v>121412</v>
      </c>
      <c r="L25" s="19">
        <v>195589</v>
      </c>
      <c r="M25" s="19">
        <v>24282</v>
      </c>
      <c r="N25" s="19">
        <v>46137</v>
      </c>
      <c r="O25" s="19">
        <v>14569</v>
      </c>
      <c r="P25" s="19">
        <v>36424</v>
      </c>
      <c r="Q25" s="17" t="s">
        <v>86</v>
      </c>
      <c r="R25" s="17" t="s">
        <v>81</v>
      </c>
      <c r="S25" s="17">
        <v>3</v>
      </c>
      <c r="T25" s="17" t="s">
        <v>82</v>
      </c>
      <c r="U25" s="17" t="s">
        <v>78</v>
      </c>
      <c r="V25" s="17" t="s">
        <v>83</v>
      </c>
    </row>
    <row r="26" spans="1:22" x14ac:dyDescent="0.35">
      <c r="A26" s="14" t="s">
        <v>118</v>
      </c>
      <c r="B26" s="14" t="s">
        <v>71</v>
      </c>
      <c r="C26" s="14" t="s">
        <v>110</v>
      </c>
      <c r="D26" s="14" t="s">
        <v>73</v>
      </c>
      <c r="E26" s="14" t="s">
        <v>105</v>
      </c>
      <c r="F26" s="15">
        <v>0.45</v>
      </c>
      <c r="G26" s="15">
        <v>1.31</v>
      </c>
      <c r="H26" s="15">
        <v>0.59</v>
      </c>
      <c r="I26" s="16">
        <v>464269</v>
      </c>
      <c r="J26" s="16">
        <v>273919</v>
      </c>
      <c r="K26" s="16">
        <v>79325</v>
      </c>
      <c r="L26" s="16">
        <v>194594</v>
      </c>
      <c r="M26" s="16">
        <v>15865</v>
      </c>
      <c r="N26" s="16">
        <v>30144</v>
      </c>
      <c r="O26" s="16">
        <v>9519</v>
      </c>
      <c r="P26" s="16">
        <v>23798</v>
      </c>
      <c r="Q26" s="14" t="s">
        <v>86</v>
      </c>
      <c r="R26" s="14" t="s">
        <v>76</v>
      </c>
      <c r="S26" s="14">
        <v>9</v>
      </c>
      <c r="T26" s="14" t="s">
        <v>82</v>
      </c>
      <c r="U26" s="14" t="s">
        <v>78</v>
      </c>
      <c r="V26" s="14" t="s">
        <v>83</v>
      </c>
    </row>
    <row r="27" spans="1:22" x14ac:dyDescent="0.35">
      <c r="A27" s="17" t="s">
        <v>119</v>
      </c>
      <c r="B27" s="17" t="s">
        <v>71</v>
      </c>
      <c r="C27" s="17" t="s">
        <v>110</v>
      </c>
      <c r="D27" s="17" t="s">
        <v>73</v>
      </c>
      <c r="E27" s="17" t="s">
        <v>98</v>
      </c>
      <c r="F27" s="18">
        <v>2.36</v>
      </c>
      <c r="G27" s="18">
        <v>2.09</v>
      </c>
      <c r="H27" s="18">
        <v>4.93</v>
      </c>
      <c r="I27" s="19">
        <v>338284</v>
      </c>
      <c r="J27" s="19">
        <v>1667740</v>
      </c>
      <c r="K27" s="19">
        <v>589028</v>
      </c>
      <c r="L27" s="19">
        <v>1078712</v>
      </c>
      <c r="M27" s="19">
        <v>117806</v>
      </c>
      <c r="N27" s="19">
        <v>223831</v>
      </c>
      <c r="O27" s="19">
        <v>70683</v>
      </c>
      <c r="P27" s="19">
        <v>176708</v>
      </c>
      <c r="Q27" s="17" t="s">
        <v>90</v>
      </c>
      <c r="R27" s="17" t="s">
        <v>76</v>
      </c>
      <c r="S27" s="17">
        <v>8</v>
      </c>
      <c r="T27" s="17" t="s">
        <v>77</v>
      </c>
      <c r="U27" s="17" t="s">
        <v>78</v>
      </c>
      <c r="V27" s="17" t="s">
        <v>83</v>
      </c>
    </row>
    <row r="28" spans="1:22" x14ac:dyDescent="0.35">
      <c r="A28" s="14" t="s">
        <v>120</v>
      </c>
      <c r="B28" s="14" t="s">
        <v>71</v>
      </c>
      <c r="C28" s="14" t="s">
        <v>110</v>
      </c>
      <c r="D28" s="14" t="s">
        <v>73</v>
      </c>
      <c r="E28" s="14" t="s">
        <v>96</v>
      </c>
      <c r="F28" s="15">
        <v>1.78</v>
      </c>
      <c r="G28" s="15">
        <v>0.62</v>
      </c>
      <c r="H28" s="15">
        <v>1.1000000000000001</v>
      </c>
      <c r="I28" s="16">
        <v>368493</v>
      </c>
      <c r="J28" s="16">
        <v>405342</v>
      </c>
      <c r="K28" s="16">
        <v>156162</v>
      </c>
      <c r="L28" s="16">
        <v>249180</v>
      </c>
      <c r="M28" s="16">
        <v>31232</v>
      </c>
      <c r="N28" s="16">
        <v>59342</v>
      </c>
      <c r="O28" s="16">
        <v>18739</v>
      </c>
      <c r="P28" s="16">
        <v>46849</v>
      </c>
      <c r="Q28" s="14" t="s">
        <v>86</v>
      </c>
      <c r="R28" s="14" t="s">
        <v>76</v>
      </c>
      <c r="S28" s="14">
        <v>10</v>
      </c>
      <c r="T28" s="14" t="s">
        <v>82</v>
      </c>
      <c r="U28" s="14" t="s">
        <v>83</v>
      </c>
      <c r="V28" s="14" t="s">
        <v>83</v>
      </c>
    </row>
    <row r="29" spans="1:22" x14ac:dyDescent="0.35">
      <c r="A29" s="17" t="s">
        <v>121</v>
      </c>
      <c r="B29" s="17" t="s">
        <v>71</v>
      </c>
      <c r="C29" s="17" t="s">
        <v>110</v>
      </c>
      <c r="D29" s="17" t="s">
        <v>73</v>
      </c>
      <c r="E29" s="17" t="s">
        <v>74</v>
      </c>
      <c r="F29" s="18">
        <v>1.75</v>
      </c>
      <c r="G29" s="18">
        <v>8.5299999999999994</v>
      </c>
      <c r="H29" s="18">
        <v>14.93</v>
      </c>
      <c r="I29" s="19">
        <v>160153</v>
      </c>
      <c r="J29" s="19">
        <v>2391084</v>
      </c>
      <c r="K29" s="19">
        <v>786335</v>
      </c>
      <c r="L29" s="19">
        <v>1604749</v>
      </c>
      <c r="M29" s="19">
        <v>157267</v>
      </c>
      <c r="N29" s="19">
        <v>298807</v>
      </c>
      <c r="O29" s="19">
        <v>94360</v>
      </c>
      <c r="P29" s="19">
        <v>235900</v>
      </c>
      <c r="Q29" s="17" t="s">
        <v>86</v>
      </c>
      <c r="R29" s="17" t="s">
        <v>76</v>
      </c>
      <c r="S29" s="17">
        <v>8</v>
      </c>
      <c r="T29" s="17" t="s">
        <v>82</v>
      </c>
      <c r="U29" s="17" t="s">
        <v>78</v>
      </c>
      <c r="V29" s="17" t="s">
        <v>78</v>
      </c>
    </row>
    <row r="30" spans="1:22" x14ac:dyDescent="0.35">
      <c r="A30" s="14" t="s">
        <v>122</v>
      </c>
      <c r="B30" s="14" t="s">
        <v>71</v>
      </c>
      <c r="C30" s="14" t="s">
        <v>110</v>
      </c>
      <c r="D30" s="14" t="s">
        <v>88</v>
      </c>
      <c r="E30" s="14" t="s">
        <v>105</v>
      </c>
      <c r="F30" s="15">
        <v>1.95</v>
      </c>
      <c r="G30" s="15">
        <v>1.43</v>
      </c>
      <c r="H30" s="15">
        <v>2.79</v>
      </c>
      <c r="I30" s="16">
        <v>439401</v>
      </c>
      <c r="J30" s="16">
        <v>1225929</v>
      </c>
      <c r="K30" s="16">
        <v>344603</v>
      </c>
      <c r="L30" s="16">
        <v>881326</v>
      </c>
      <c r="M30" s="16">
        <v>68921</v>
      </c>
      <c r="N30" s="16">
        <v>130949</v>
      </c>
      <c r="O30" s="16">
        <v>41352</v>
      </c>
      <c r="P30" s="16">
        <v>103381</v>
      </c>
      <c r="Q30" s="14" t="s">
        <v>75</v>
      </c>
      <c r="R30" s="14" t="s">
        <v>81</v>
      </c>
      <c r="S30" s="14">
        <v>4</v>
      </c>
      <c r="T30" s="14" t="s">
        <v>82</v>
      </c>
      <c r="U30" s="14" t="s">
        <v>78</v>
      </c>
      <c r="V30" s="14" t="s">
        <v>83</v>
      </c>
    </row>
    <row r="31" spans="1:22" x14ac:dyDescent="0.35">
      <c r="A31" s="17" t="s">
        <v>123</v>
      </c>
      <c r="B31" s="17" t="s">
        <v>71</v>
      </c>
      <c r="C31" s="17" t="s">
        <v>110</v>
      </c>
      <c r="D31" s="17" t="s">
        <v>73</v>
      </c>
      <c r="E31" s="17" t="s">
        <v>74</v>
      </c>
      <c r="F31" s="18">
        <v>2.2999999999999998</v>
      </c>
      <c r="G31" s="18">
        <v>6.74</v>
      </c>
      <c r="H31" s="18">
        <v>15.5</v>
      </c>
      <c r="I31" s="19">
        <v>168215</v>
      </c>
      <c r="J31" s="19">
        <v>2607332</v>
      </c>
      <c r="K31" s="19">
        <v>806938</v>
      </c>
      <c r="L31" s="19">
        <v>1800394</v>
      </c>
      <c r="M31" s="19">
        <v>161388</v>
      </c>
      <c r="N31" s="19">
        <v>306636</v>
      </c>
      <c r="O31" s="19">
        <v>96833</v>
      </c>
      <c r="P31" s="19">
        <v>242081</v>
      </c>
      <c r="Q31" s="17" t="s">
        <v>90</v>
      </c>
      <c r="R31" s="17" t="s">
        <v>76</v>
      </c>
      <c r="S31" s="17">
        <v>7</v>
      </c>
      <c r="T31" s="17" t="s">
        <v>77</v>
      </c>
      <c r="U31" s="17" t="s">
        <v>83</v>
      </c>
      <c r="V31" s="17" t="s">
        <v>83</v>
      </c>
    </row>
    <row r="32" spans="1:22" x14ac:dyDescent="0.35">
      <c r="A32" s="14" t="s">
        <v>124</v>
      </c>
      <c r="B32" s="14" t="s">
        <v>71</v>
      </c>
      <c r="C32" s="14" t="s">
        <v>110</v>
      </c>
      <c r="D32" s="14" t="s">
        <v>73</v>
      </c>
      <c r="E32" s="14" t="s">
        <v>85</v>
      </c>
      <c r="F32" s="15">
        <v>0.92</v>
      </c>
      <c r="G32" s="15">
        <v>1.34</v>
      </c>
      <c r="H32" s="15">
        <v>1.23</v>
      </c>
      <c r="I32" s="16">
        <v>121291</v>
      </c>
      <c r="J32" s="16">
        <v>149188</v>
      </c>
      <c r="K32" s="16">
        <v>41847</v>
      </c>
      <c r="L32" s="16">
        <v>107341</v>
      </c>
      <c r="M32" s="16">
        <v>8369</v>
      </c>
      <c r="N32" s="16">
        <v>15902</v>
      </c>
      <c r="O32" s="16">
        <v>5022</v>
      </c>
      <c r="P32" s="16">
        <v>12554</v>
      </c>
      <c r="Q32" s="14" t="s">
        <v>86</v>
      </c>
      <c r="R32" s="14" t="s">
        <v>81</v>
      </c>
      <c r="S32" s="14">
        <v>5</v>
      </c>
      <c r="T32" s="14" t="s">
        <v>82</v>
      </c>
      <c r="U32" s="14" t="s">
        <v>83</v>
      </c>
      <c r="V32" s="14" t="s">
        <v>83</v>
      </c>
    </row>
    <row r="33" spans="1:22" x14ac:dyDescent="0.35">
      <c r="A33" s="17" t="s">
        <v>125</v>
      </c>
      <c r="B33" s="17" t="s">
        <v>71</v>
      </c>
      <c r="C33" s="17" t="s">
        <v>110</v>
      </c>
      <c r="D33" s="17" t="s">
        <v>88</v>
      </c>
      <c r="E33" s="17" t="s">
        <v>93</v>
      </c>
      <c r="F33" s="18">
        <v>2.1800000000000002</v>
      </c>
      <c r="G33" s="18">
        <v>0.72</v>
      </c>
      <c r="H33" s="18">
        <v>1.57</v>
      </c>
      <c r="I33" s="19">
        <v>430736</v>
      </c>
      <c r="J33" s="19">
        <v>676256</v>
      </c>
      <c r="K33" s="19">
        <v>254775</v>
      </c>
      <c r="L33" s="19">
        <v>421481</v>
      </c>
      <c r="M33" s="19">
        <v>50955</v>
      </c>
      <c r="N33" s="19">
        <v>96814</v>
      </c>
      <c r="O33" s="19">
        <v>30573</v>
      </c>
      <c r="P33" s="19">
        <v>76432</v>
      </c>
      <c r="Q33" s="17" t="s">
        <v>86</v>
      </c>
      <c r="R33" s="17" t="s">
        <v>76</v>
      </c>
      <c r="S33" s="17">
        <v>8</v>
      </c>
      <c r="T33" s="17" t="s">
        <v>77</v>
      </c>
      <c r="U33" s="17" t="s">
        <v>83</v>
      </c>
      <c r="V33" s="17" t="s">
        <v>83</v>
      </c>
    </row>
    <row r="34" spans="1:22" x14ac:dyDescent="0.35">
      <c r="A34" s="14" t="s">
        <v>126</v>
      </c>
      <c r="B34" s="14" t="s">
        <v>71</v>
      </c>
      <c r="C34" s="14" t="s">
        <v>110</v>
      </c>
      <c r="D34" s="14" t="s">
        <v>88</v>
      </c>
      <c r="E34" s="14" t="s">
        <v>116</v>
      </c>
      <c r="F34" s="15">
        <v>0.95</v>
      </c>
      <c r="G34" s="15">
        <v>1.35</v>
      </c>
      <c r="H34" s="15">
        <v>1.28</v>
      </c>
      <c r="I34" s="16">
        <v>162356</v>
      </c>
      <c r="J34" s="16">
        <v>207816</v>
      </c>
      <c r="K34" s="16">
        <v>81351</v>
      </c>
      <c r="L34" s="16">
        <v>126465</v>
      </c>
      <c r="M34" s="16">
        <v>16270</v>
      </c>
      <c r="N34" s="16">
        <v>30913</v>
      </c>
      <c r="O34" s="16">
        <v>9762</v>
      </c>
      <c r="P34" s="16">
        <v>24405</v>
      </c>
      <c r="Q34" s="14" t="s">
        <v>86</v>
      </c>
      <c r="R34" s="14" t="s">
        <v>81</v>
      </c>
      <c r="S34" s="14">
        <v>6</v>
      </c>
      <c r="T34" s="14" t="s">
        <v>82</v>
      </c>
      <c r="U34" s="14" t="s">
        <v>83</v>
      </c>
      <c r="V34" s="14" t="s">
        <v>78</v>
      </c>
    </row>
    <row r="35" spans="1:22" x14ac:dyDescent="0.35">
      <c r="A35" s="17" t="s">
        <v>127</v>
      </c>
      <c r="B35" s="17" t="s">
        <v>71</v>
      </c>
      <c r="C35" s="17" t="s">
        <v>110</v>
      </c>
      <c r="D35" s="17" t="s">
        <v>88</v>
      </c>
      <c r="E35" s="17" t="s">
        <v>74</v>
      </c>
      <c r="F35" s="18">
        <v>2.41</v>
      </c>
      <c r="G35" s="18">
        <v>8.89</v>
      </c>
      <c r="H35" s="18">
        <v>21.42</v>
      </c>
      <c r="I35" s="19">
        <v>174944</v>
      </c>
      <c r="J35" s="19">
        <v>3747300</v>
      </c>
      <c r="K35" s="19">
        <v>1374857</v>
      </c>
      <c r="L35" s="19">
        <v>2372443</v>
      </c>
      <c r="M35" s="19">
        <v>274971</v>
      </c>
      <c r="N35" s="19">
        <v>522446</v>
      </c>
      <c r="O35" s="19">
        <v>164983</v>
      </c>
      <c r="P35" s="19">
        <v>412457</v>
      </c>
      <c r="Q35" s="17" t="s">
        <v>86</v>
      </c>
      <c r="R35" s="17" t="s">
        <v>76</v>
      </c>
      <c r="S35" s="17">
        <v>5</v>
      </c>
      <c r="T35" s="17" t="s">
        <v>77</v>
      </c>
      <c r="U35" s="17" t="s">
        <v>78</v>
      </c>
      <c r="V35" s="17" t="s">
        <v>83</v>
      </c>
    </row>
    <row r="36" spans="1:22" x14ac:dyDescent="0.35">
      <c r="A36" s="14" t="s">
        <v>128</v>
      </c>
      <c r="B36" s="14" t="s">
        <v>71</v>
      </c>
      <c r="C36" s="14" t="s">
        <v>110</v>
      </c>
      <c r="D36" s="14" t="s">
        <v>73</v>
      </c>
      <c r="E36" s="14" t="s">
        <v>80</v>
      </c>
      <c r="F36" s="15">
        <v>3.81</v>
      </c>
      <c r="G36" s="15">
        <v>13.49</v>
      </c>
      <c r="H36" s="15">
        <v>51.4</v>
      </c>
      <c r="I36" s="16">
        <v>107278</v>
      </c>
      <c r="J36" s="16">
        <v>5514089</v>
      </c>
      <c r="K36" s="16">
        <v>2163248</v>
      </c>
      <c r="L36" s="16">
        <v>3350841</v>
      </c>
      <c r="M36" s="16">
        <v>432650</v>
      </c>
      <c r="N36" s="16">
        <v>822034</v>
      </c>
      <c r="O36" s="16">
        <v>259590</v>
      </c>
      <c r="P36" s="16">
        <v>648974</v>
      </c>
      <c r="Q36" s="14" t="s">
        <v>75</v>
      </c>
      <c r="R36" s="14" t="s">
        <v>76</v>
      </c>
      <c r="S36" s="14">
        <v>7</v>
      </c>
      <c r="T36" s="14" t="s">
        <v>77</v>
      </c>
      <c r="U36" s="14" t="s">
        <v>78</v>
      </c>
      <c r="V36" s="14" t="s">
        <v>83</v>
      </c>
    </row>
    <row r="37" spans="1:22" x14ac:dyDescent="0.35">
      <c r="A37" s="17" t="s">
        <v>129</v>
      </c>
      <c r="B37" s="17" t="s">
        <v>71</v>
      </c>
      <c r="C37" s="17" t="s">
        <v>130</v>
      </c>
      <c r="D37" s="17" t="s">
        <v>73</v>
      </c>
      <c r="E37" s="17" t="s">
        <v>96</v>
      </c>
      <c r="F37" s="18">
        <v>2.19</v>
      </c>
      <c r="G37" s="18">
        <v>0.57999999999999996</v>
      </c>
      <c r="H37" s="18">
        <v>1.27</v>
      </c>
      <c r="I37" s="19">
        <v>427041</v>
      </c>
      <c r="J37" s="19">
        <v>542342</v>
      </c>
      <c r="K37" s="19">
        <v>186806</v>
      </c>
      <c r="L37" s="19">
        <v>355536</v>
      </c>
      <c r="M37" s="19">
        <v>37361</v>
      </c>
      <c r="N37" s="19">
        <v>70986</v>
      </c>
      <c r="O37" s="19">
        <v>22417</v>
      </c>
      <c r="P37" s="19">
        <v>56042</v>
      </c>
      <c r="Q37" s="17" t="s">
        <v>90</v>
      </c>
      <c r="R37" s="17" t="s">
        <v>76</v>
      </c>
      <c r="S37" s="17">
        <v>6</v>
      </c>
      <c r="T37" s="17" t="s">
        <v>77</v>
      </c>
      <c r="U37" s="17" t="s">
        <v>78</v>
      </c>
      <c r="V37" s="17" t="s">
        <v>83</v>
      </c>
    </row>
    <row r="38" spans="1:22" x14ac:dyDescent="0.35">
      <c r="A38" s="14" t="s">
        <v>131</v>
      </c>
      <c r="B38" s="14" t="s">
        <v>71</v>
      </c>
      <c r="C38" s="14" t="s">
        <v>130</v>
      </c>
      <c r="D38" s="14" t="s">
        <v>88</v>
      </c>
      <c r="E38" s="14" t="s">
        <v>98</v>
      </c>
      <c r="F38" s="15">
        <v>1.48</v>
      </c>
      <c r="G38" s="15">
        <v>2.2799999999999998</v>
      </c>
      <c r="H38" s="15">
        <v>3.37</v>
      </c>
      <c r="I38" s="16">
        <v>376222</v>
      </c>
      <c r="J38" s="16">
        <v>1267868</v>
      </c>
      <c r="K38" s="16">
        <v>404548</v>
      </c>
      <c r="L38" s="16">
        <v>863320</v>
      </c>
      <c r="M38" s="16">
        <v>80910</v>
      </c>
      <c r="N38" s="16">
        <v>153728</v>
      </c>
      <c r="O38" s="16">
        <v>48546</v>
      </c>
      <c r="P38" s="16">
        <v>121364</v>
      </c>
      <c r="Q38" s="14" t="s">
        <v>75</v>
      </c>
      <c r="R38" s="14" t="s">
        <v>81</v>
      </c>
      <c r="S38" s="14">
        <v>11</v>
      </c>
      <c r="T38" s="14" t="s">
        <v>82</v>
      </c>
      <c r="U38" s="14" t="s">
        <v>78</v>
      </c>
      <c r="V38" s="14" t="s">
        <v>78</v>
      </c>
    </row>
    <row r="39" spans="1:22" x14ac:dyDescent="0.35">
      <c r="A39" s="17" t="s">
        <v>132</v>
      </c>
      <c r="B39" s="17" t="s">
        <v>71</v>
      </c>
      <c r="C39" s="17" t="s">
        <v>130</v>
      </c>
      <c r="D39" s="17" t="s">
        <v>88</v>
      </c>
      <c r="E39" s="17" t="s">
        <v>74</v>
      </c>
      <c r="F39" s="18">
        <v>0.78</v>
      </c>
      <c r="G39" s="18">
        <v>9.23</v>
      </c>
      <c r="H39" s="18">
        <v>7.2</v>
      </c>
      <c r="I39" s="19">
        <v>167335</v>
      </c>
      <c r="J39" s="19">
        <v>1204812</v>
      </c>
      <c r="K39" s="19">
        <v>355632</v>
      </c>
      <c r="L39" s="19">
        <v>849180</v>
      </c>
      <c r="M39" s="19">
        <v>71126</v>
      </c>
      <c r="N39" s="19">
        <v>135140</v>
      </c>
      <c r="O39" s="19">
        <v>42676</v>
      </c>
      <c r="P39" s="19">
        <v>106690</v>
      </c>
      <c r="Q39" s="17" t="s">
        <v>90</v>
      </c>
      <c r="R39" s="17" t="s">
        <v>81</v>
      </c>
      <c r="S39" s="17">
        <v>8</v>
      </c>
      <c r="T39" s="17" t="s">
        <v>82</v>
      </c>
      <c r="U39" s="17" t="s">
        <v>78</v>
      </c>
      <c r="V39" s="17" t="s">
        <v>83</v>
      </c>
    </row>
    <row r="40" spans="1:22" x14ac:dyDescent="0.35">
      <c r="A40" s="14" t="s">
        <v>133</v>
      </c>
      <c r="B40" s="14" t="s">
        <v>71</v>
      </c>
      <c r="C40" s="14" t="s">
        <v>130</v>
      </c>
      <c r="D40" s="14" t="s">
        <v>73</v>
      </c>
      <c r="E40" s="14" t="s">
        <v>93</v>
      </c>
      <c r="F40" s="15">
        <v>1.66</v>
      </c>
      <c r="G40" s="15">
        <v>1.1499999999999999</v>
      </c>
      <c r="H40" s="15">
        <v>1.91</v>
      </c>
      <c r="I40" s="16">
        <v>352038</v>
      </c>
      <c r="J40" s="16">
        <v>672393</v>
      </c>
      <c r="K40" s="16">
        <v>254992</v>
      </c>
      <c r="L40" s="16">
        <v>417401</v>
      </c>
      <c r="M40" s="16">
        <v>50998</v>
      </c>
      <c r="N40" s="16">
        <v>96897</v>
      </c>
      <c r="O40" s="16">
        <v>30599</v>
      </c>
      <c r="P40" s="16">
        <v>76498</v>
      </c>
      <c r="Q40" s="14" t="s">
        <v>86</v>
      </c>
      <c r="R40" s="14" t="s">
        <v>76</v>
      </c>
      <c r="S40" s="14">
        <v>8</v>
      </c>
      <c r="T40" s="14" t="s">
        <v>82</v>
      </c>
      <c r="U40" s="14" t="s">
        <v>78</v>
      </c>
      <c r="V40" s="14" t="s">
        <v>78</v>
      </c>
    </row>
    <row r="41" spans="1:22" x14ac:dyDescent="0.35">
      <c r="A41" s="17" t="s">
        <v>134</v>
      </c>
      <c r="B41" s="17" t="s">
        <v>71</v>
      </c>
      <c r="C41" s="17" t="s">
        <v>130</v>
      </c>
      <c r="D41" s="17" t="s">
        <v>88</v>
      </c>
      <c r="E41" s="17" t="s">
        <v>101</v>
      </c>
      <c r="F41" s="18">
        <v>4.1500000000000004</v>
      </c>
      <c r="G41" s="18">
        <v>0.79</v>
      </c>
      <c r="H41" s="18">
        <v>3.28</v>
      </c>
      <c r="I41" s="19">
        <v>140002</v>
      </c>
      <c r="J41" s="19">
        <v>459207</v>
      </c>
      <c r="K41" s="19">
        <v>161180</v>
      </c>
      <c r="L41" s="19">
        <v>298027</v>
      </c>
      <c r="M41" s="19">
        <v>32236</v>
      </c>
      <c r="N41" s="19">
        <v>61248</v>
      </c>
      <c r="O41" s="19">
        <v>19342</v>
      </c>
      <c r="P41" s="19">
        <v>48354</v>
      </c>
      <c r="Q41" s="17" t="s">
        <v>75</v>
      </c>
      <c r="R41" s="17" t="s">
        <v>81</v>
      </c>
      <c r="S41" s="17">
        <v>8</v>
      </c>
      <c r="T41" s="17" t="s">
        <v>77</v>
      </c>
      <c r="U41" s="17" t="s">
        <v>78</v>
      </c>
      <c r="V41" s="17" t="s">
        <v>83</v>
      </c>
    </row>
    <row r="42" spans="1:22" x14ac:dyDescent="0.35">
      <c r="A42" s="14" t="s">
        <v>135</v>
      </c>
      <c r="B42" s="14" t="s">
        <v>71</v>
      </c>
      <c r="C42" s="14" t="s">
        <v>130</v>
      </c>
      <c r="D42" s="14" t="s">
        <v>73</v>
      </c>
      <c r="E42" s="14" t="s">
        <v>85</v>
      </c>
      <c r="F42" s="15">
        <v>1.36</v>
      </c>
      <c r="G42" s="15">
        <v>1.54</v>
      </c>
      <c r="H42" s="15">
        <v>2.09</v>
      </c>
      <c r="I42" s="16">
        <v>125287</v>
      </c>
      <c r="J42" s="16">
        <v>261850</v>
      </c>
      <c r="K42" s="16">
        <v>100744</v>
      </c>
      <c r="L42" s="16">
        <v>161106</v>
      </c>
      <c r="M42" s="16">
        <v>20149</v>
      </c>
      <c r="N42" s="16">
        <v>38283</v>
      </c>
      <c r="O42" s="16">
        <v>12089</v>
      </c>
      <c r="P42" s="16">
        <v>30223</v>
      </c>
      <c r="Q42" s="14" t="s">
        <v>86</v>
      </c>
      <c r="R42" s="14" t="s">
        <v>81</v>
      </c>
      <c r="S42" s="14">
        <v>9</v>
      </c>
      <c r="T42" s="14" t="s">
        <v>82</v>
      </c>
      <c r="U42" s="14" t="s">
        <v>83</v>
      </c>
      <c r="V42" s="14" t="s">
        <v>78</v>
      </c>
    </row>
    <row r="43" spans="1:22" x14ac:dyDescent="0.35">
      <c r="A43" s="17" t="s">
        <v>136</v>
      </c>
      <c r="B43" s="17" t="s">
        <v>71</v>
      </c>
      <c r="C43" s="17" t="s">
        <v>130</v>
      </c>
      <c r="D43" s="17" t="s">
        <v>88</v>
      </c>
      <c r="E43" s="17" t="s">
        <v>85</v>
      </c>
      <c r="F43" s="18">
        <v>1.45</v>
      </c>
      <c r="G43" s="18">
        <v>1.39</v>
      </c>
      <c r="H43" s="18">
        <v>2.02</v>
      </c>
      <c r="I43" s="19">
        <v>134160</v>
      </c>
      <c r="J43" s="19">
        <v>271003</v>
      </c>
      <c r="K43" s="19">
        <v>88107</v>
      </c>
      <c r="L43" s="19">
        <v>182896</v>
      </c>
      <c r="M43" s="19">
        <v>17621</v>
      </c>
      <c r="N43" s="19">
        <v>33481</v>
      </c>
      <c r="O43" s="19">
        <v>10573</v>
      </c>
      <c r="P43" s="19">
        <v>26432</v>
      </c>
      <c r="Q43" s="17" t="s">
        <v>90</v>
      </c>
      <c r="R43" s="17" t="s">
        <v>81</v>
      </c>
      <c r="S43" s="17">
        <v>6</v>
      </c>
      <c r="T43" s="17" t="s">
        <v>82</v>
      </c>
      <c r="U43" s="17" t="s">
        <v>83</v>
      </c>
      <c r="V43" s="17" t="s">
        <v>83</v>
      </c>
    </row>
    <row r="44" spans="1:22" x14ac:dyDescent="0.35">
      <c r="A44" s="14" t="s">
        <v>137</v>
      </c>
      <c r="B44" s="14" t="s">
        <v>71</v>
      </c>
      <c r="C44" s="14" t="s">
        <v>130</v>
      </c>
      <c r="D44" s="14" t="s">
        <v>73</v>
      </c>
      <c r="E44" s="14" t="s">
        <v>116</v>
      </c>
      <c r="F44" s="15">
        <v>1.49</v>
      </c>
      <c r="G44" s="15">
        <v>1.98</v>
      </c>
      <c r="H44" s="15">
        <v>2.95</v>
      </c>
      <c r="I44" s="16">
        <v>150188</v>
      </c>
      <c r="J44" s="16">
        <v>443055</v>
      </c>
      <c r="K44" s="16">
        <v>129848</v>
      </c>
      <c r="L44" s="16">
        <v>313207</v>
      </c>
      <c r="M44" s="16">
        <v>25970</v>
      </c>
      <c r="N44" s="16">
        <v>49342</v>
      </c>
      <c r="O44" s="16">
        <v>15582</v>
      </c>
      <c r="P44" s="16">
        <v>38954</v>
      </c>
      <c r="Q44" s="14" t="s">
        <v>86</v>
      </c>
      <c r="R44" s="14" t="s">
        <v>81</v>
      </c>
      <c r="S44" s="14">
        <v>6</v>
      </c>
      <c r="T44" s="14" t="s">
        <v>82</v>
      </c>
      <c r="U44" s="14" t="s">
        <v>78</v>
      </c>
      <c r="V44" s="14" t="s">
        <v>78</v>
      </c>
    </row>
    <row r="45" spans="1:22" x14ac:dyDescent="0.35">
      <c r="A45" s="17" t="s">
        <v>138</v>
      </c>
      <c r="B45" s="17" t="s">
        <v>71</v>
      </c>
      <c r="C45" s="17" t="s">
        <v>130</v>
      </c>
      <c r="D45" s="17" t="s">
        <v>73</v>
      </c>
      <c r="E45" s="17" t="s">
        <v>80</v>
      </c>
      <c r="F45" s="18">
        <v>1.6</v>
      </c>
      <c r="G45" s="18">
        <v>14.78</v>
      </c>
      <c r="H45" s="18">
        <v>23.65</v>
      </c>
      <c r="I45" s="19">
        <v>104968</v>
      </c>
      <c r="J45" s="19">
        <v>2482493</v>
      </c>
      <c r="K45" s="19">
        <v>720409</v>
      </c>
      <c r="L45" s="19">
        <v>1762084</v>
      </c>
      <c r="M45" s="19">
        <v>144082</v>
      </c>
      <c r="N45" s="19">
        <v>273755</v>
      </c>
      <c r="O45" s="19">
        <v>86449</v>
      </c>
      <c r="P45" s="19">
        <v>216123</v>
      </c>
      <c r="Q45" s="17" t="s">
        <v>90</v>
      </c>
      <c r="R45" s="17" t="s">
        <v>76</v>
      </c>
      <c r="S45" s="17">
        <v>9</v>
      </c>
      <c r="T45" s="17" t="s">
        <v>82</v>
      </c>
      <c r="U45" s="17" t="s">
        <v>78</v>
      </c>
      <c r="V45" s="17" t="s">
        <v>83</v>
      </c>
    </row>
    <row r="46" spans="1:22" x14ac:dyDescent="0.35">
      <c r="A46" s="14" t="s">
        <v>139</v>
      </c>
      <c r="B46" s="14" t="s">
        <v>71</v>
      </c>
      <c r="C46" s="14" t="s">
        <v>140</v>
      </c>
      <c r="D46" s="14" t="s">
        <v>73</v>
      </c>
      <c r="E46" s="14" t="s">
        <v>116</v>
      </c>
      <c r="F46" s="15">
        <v>3.62</v>
      </c>
      <c r="G46" s="15">
        <v>2.19</v>
      </c>
      <c r="H46" s="15">
        <v>7.93</v>
      </c>
      <c r="I46" s="16">
        <v>161768</v>
      </c>
      <c r="J46" s="16">
        <v>1282820</v>
      </c>
      <c r="K46" s="16">
        <v>498990</v>
      </c>
      <c r="L46" s="16">
        <v>783830</v>
      </c>
      <c r="M46" s="16">
        <v>99798</v>
      </c>
      <c r="N46" s="16">
        <v>189616</v>
      </c>
      <c r="O46" s="16">
        <v>59879</v>
      </c>
      <c r="P46" s="16">
        <v>149697</v>
      </c>
      <c r="Q46" s="14" t="s">
        <v>86</v>
      </c>
      <c r="R46" s="14" t="s">
        <v>76</v>
      </c>
      <c r="S46" s="14">
        <v>11</v>
      </c>
      <c r="T46" s="14" t="s">
        <v>77</v>
      </c>
      <c r="U46" s="14" t="s">
        <v>78</v>
      </c>
      <c r="V46" s="14" t="s">
        <v>78</v>
      </c>
    </row>
    <row r="47" spans="1:22" x14ac:dyDescent="0.35">
      <c r="A47" s="17" t="s">
        <v>141</v>
      </c>
      <c r="B47" s="17" t="s">
        <v>71</v>
      </c>
      <c r="C47" s="17" t="s">
        <v>140</v>
      </c>
      <c r="D47" s="17" t="s">
        <v>73</v>
      </c>
      <c r="E47" s="17" t="s">
        <v>93</v>
      </c>
      <c r="F47" s="18">
        <v>3.25</v>
      </c>
      <c r="G47" s="18">
        <v>0.85</v>
      </c>
      <c r="H47" s="18">
        <v>2.76</v>
      </c>
      <c r="I47" s="19">
        <v>338201</v>
      </c>
      <c r="J47" s="19">
        <v>933435</v>
      </c>
      <c r="K47" s="19">
        <v>322082</v>
      </c>
      <c r="L47" s="19">
        <v>611353</v>
      </c>
      <c r="M47" s="19">
        <v>64416</v>
      </c>
      <c r="N47" s="19">
        <v>122391</v>
      </c>
      <c r="O47" s="19">
        <v>38650</v>
      </c>
      <c r="P47" s="19">
        <v>96625</v>
      </c>
      <c r="Q47" s="17" t="s">
        <v>75</v>
      </c>
      <c r="R47" s="17" t="s">
        <v>81</v>
      </c>
      <c r="S47" s="17">
        <v>10</v>
      </c>
      <c r="T47" s="17" t="s">
        <v>77</v>
      </c>
      <c r="U47" s="17" t="s">
        <v>83</v>
      </c>
      <c r="V47" s="17" t="s">
        <v>83</v>
      </c>
    </row>
    <row r="48" spans="1:22" x14ac:dyDescent="0.35">
      <c r="A48" s="14" t="s">
        <v>142</v>
      </c>
      <c r="B48" s="14" t="s">
        <v>71</v>
      </c>
      <c r="C48" s="14" t="s">
        <v>140</v>
      </c>
      <c r="D48" s="14" t="s">
        <v>88</v>
      </c>
      <c r="E48" s="14" t="s">
        <v>93</v>
      </c>
      <c r="F48" s="15">
        <v>2.99</v>
      </c>
      <c r="G48" s="15">
        <v>0.96</v>
      </c>
      <c r="H48" s="15">
        <v>2.87</v>
      </c>
      <c r="I48" s="16">
        <v>425282</v>
      </c>
      <c r="J48" s="16">
        <v>1220559</v>
      </c>
      <c r="K48" s="16">
        <v>468831</v>
      </c>
      <c r="L48" s="16">
        <v>751728</v>
      </c>
      <c r="M48" s="16">
        <v>93766</v>
      </c>
      <c r="N48" s="16">
        <v>178156</v>
      </c>
      <c r="O48" s="16">
        <v>56260</v>
      </c>
      <c r="P48" s="16">
        <v>140649</v>
      </c>
      <c r="Q48" s="14" t="s">
        <v>90</v>
      </c>
      <c r="R48" s="14" t="s">
        <v>81</v>
      </c>
      <c r="S48" s="14">
        <v>7</v>
      </c>
      <c r="T48" s="14" t="s">
        <v>77</v>
      </c>
      <c r="U48" s="14" t="s">
        <v>78</v>
      </c>
      <c r="V48" s="14" t="s">
        <v>83</v>
      </c>
    </row>
    <row r="49" spans="1:22" x14ac:dyDescent="0.35">
      <c r="A49" s="17" t="s">
        <v>143</v>
      </c>
      <c r="B49" s="17" t="s">
        <v>71</v>
      </c>
      <c r="C49" s="17" t="s">
        <v>140</v>
      </c>
      <c r="D49" s="17" t="s">
        <v>88</v>
      </c>
      <c r="E49" s="17" t="s">
        <v>85</v>
      </c>
      <c r="F49" s="18">
        <v>3.32</v>
      </c>
      <c r="G49" s="18">
        <v>1.03</v>
      </c>
      <c r="H49" s="18">
        <v>3.42</v>
      </c>
      <c r="I49" s="19">
        <v>113522</v>
      </c>
      <c r="J49" s="19">
        <v>388245</v>
      </c>
      <c r="K49" s="19">
        <v>124239</v>
      </c>
      <c r="L49" s="19">
        <v>264006</v>
      </c>
      <c r="M49" s="19">
        <v>24848</v>
      </c>
      <c r="N49" s="19">
        <v>47211</v>
      </c>
      <c r="O49" s="19">
        <v>14909</v>
      </c>
      <c r="P49" s="19">
        <v>37272</v>
      </c>
      <c r="Q49" s="17" t="s">
        <v>90</v>
      </c>
      <c r="R49" s="17" t="s">
        <v>81</v>
      </c>
      <c r="S49" s="17">
        <v>8</v>
      </c>
      <c r="T49" s="17" t="s">
        <v>77</v>
      </c>
      <c r="U49" s="17" t="s">
        <v>83</v>
      </c>
      <c r="V49" s="17" t="s">
        <v>78</v>
      </c>
    </row>
    <row r="50" spans="1:22" x14ac:dyDescent="0.35">
      <c r="A50" s="14" t="s">
        <v>144</v>
      </c>
      <c r="B50" s="14" t="s">
        <v>71</v>
      </c>
      <c r="C50" s="14" t="s">
        <v>140</v>
      </c>
      <c r="D50" s="14" t="s">
        <v>73</v>
      </c>
      <c r="E50" s="14" t="s">
        <v>116</v>
      </c>
      <c r="F50" s="15">
        <v>1.31</v>
      </c>
      <c r="G50" s="15">
        <v>2.0099999999999998</v>
      </c>
      <c r="H50" s="15">
        <v>2.63</v>
      </c>
      <c r="I50" s="16">
        <v>153979</v>
      </c>
      <c r="J50" s="16">
        <v>404965</v>
      </c>
      <c r="K50" s="16">
        <v>117032</v>
      </c>
      <c r="L50" s="16">
        <v>287933</v>
      </c>
      <c r="M50" s="16">
        <v>23406</v>
      </c>
      <c r="N50" s="16">
        <v>44472</v>
      </c>
      <c r="O50" s="16">
        <v>14044</v>
      </c>
      <c r="P50" s="16">
        <v>35110</v>
      </c>
      <c r="Q50" s="14" t="s">
        <v>90</v>
      </c>
      <c r="R50" s="14" t="s">
        <v>81</v>
      </c>
      <c r="S50" s="14">
        <v>11</v>
      </c>
      <c r="T50" s="14" t="s">
        <v>82</v>
      </c>
      <c r="U50" s="14" t="s">
        <v>78</v>
      </c>
      <c r="V50" s="14" t="s">
        <v>83</v>
      </c>
    </row>
    <row r="51" spans="1:22" x14ac:dyDescent="0.35">
      <c r="A51" s="17" t="s">
        <v>145</v>
      </c>
      <c r="B51" s="17" t="s">
        <v>71</v>
      </c>
      <c r="C51" s="17" t="s">
        <v>140</v>
      </c>
      <c r="D51" s="17" t="s">
        <v>73</v>
      </c>
      <c r="E51" s="17" t="s">
        <v>80</v>
      </c>
      <c r="F51" s="18">
        <v>4.25</v>
      </c>
      <c r="G51" s="18">
        <v>14.01</v>
      </c>
      <c r="H51" s="18">
        <v>59.54</v>
      </c>
      <c r="I51" s="19">
        <v>102689</v>
      </c>
      <c r="J51" s="19">
        <v>6114103</v>
      </c>
      <c r="K51" s="19">
        <v>2521754</v>
      </c>
      <c r="L51" s="19">
        <v>3592349</v>
      </c>
      <c r="M51" s="19">
        <v>504351</v>
      </c>
      <c r="N51" s="19">
        <v>958267</v>
      </c>
      <c r="O51" s="19">
        <v>302610</v>
      </c>
      <c r="P51" s="19">
        <v>756526</v>
      </c>
      <c r="Q51" s="17" t="s">
        <v>86</v>
      </c>
      <c r="R51" s="17" t="s">
        <v>81</v>
      </c>
      <c r="S51" s="17">
        <v>10</v>
      </c>
      <c r="T51" s="17" t="s">
        <v>77</v>
      </c>
      <c r="U51" s="17" t="s">
        <v>78</v>
      </c>
      <c r="V51" s="17" t="s">
        <v>83</v>
      </c>
    </row>
    <row r="52" spans="1:22" x14ac:dyDescent="0.35">
      <c r="A52" s="14" t="s">
        <v>146</v>
      </c>
      <c r="B52" s="14" t="s">
        <v>71</v>
      </c>
      <c r="C52" s="14" t="s">
        <v>140</v>
      </c>
      <c r="D52" s="14" t="s">
        <v>88</v>
      </c>
      <c r="E52" s="14" t="s">
        <v>85</v>
      </c>
      <c r="F52" s="15">
        <v>4.34</v>
      </c>
      <c r="G52" s="15">
        <v>1.51</v>
      </c>
      <c r="H52" s="15">
        <v>6.55</v>
      </c>
      <c r="I52" s="16">
        <v>126842</v>
      </c>
      <c r="J52" s="16">
        <v>830815</v>
      </c>
      <c r="K52" s="16">
        <v>319575</v>
      </c>
      <c r="L52" s="16">
        <v>511240</v>
      </c>
      <c r="M52" s="16">
        <v>63915</v>
      </c>
      <c r="N52" s="16">
        <v>121438</v>
      </c>
      <c r="O52" s="16">
        <v>38349</v>
      </c>
      <c r="P52" s="16">
        <v>95872</v>
      </c>
      <c r="Q52" s="14" t="s">
        <v>75</v>
      </c>
      <c r="R52" s="14" t="s">
        <v>76</v>
      </c>
      <c r="S52" s="14">
        <v>10</v>
      </c>
      <c r="T52" s="14" t="s">
        <v>77</v>
      </c>
      <c r="U52" s="14" t="s">
        <v>78</v>
      </c>
      <c r="V52" s="14" t="s">
        <v>83</v>
      </c>
    </row>
    <row r="53" spans="1:22" x14ac:dyDescent="0.35">
      <c r="A53" s="17" t="s">
        <v>147</v>
      </c>
      <c r="B53" s="17" t="s">
        <v>71</v>
      </c>
      <c r="C53" s="17" t="s">
        <v>140</v>
      </c>
      <c r="D53" s="17" t="s">
        <v>88</v>
      </c>
      <c r="E53" s="17" t="s">
        <v>96</v>
      </c>
      <c r="F53" s="18">
        <v>0.36</v>
      </c>
      <c r="G53" s="18">
        <v>0.54</v>
      </c>
      <c r="H53" s="18">
        <v>0.19</v>
      </c>
      <c r="I53" s="19">
        <v>410960</v>
      </c>
      <c r="J53" s="19">
        <v>78082</v>
      </c>
      <c r="K53" s="19">
        <v>26283</v>
      </c>
      <c r="L53" s="19">
        <v>51799</v>
      </c>
      <c r="M53" s="19">
        <v>5257</v>
      </c>
      <c r="N53" s="19">
        <v>9988</v>
      </c>
      <c r="O53" s="19">
        <v>3154</v>
      </c>
      <c r="P53" s="19">
        <v>7885</v>
      </c>
      <c r="Q53" s="17" t="s">
        <v>86</v>
      </c>
      <c r="R53" s="17" t="s">
        <v>81</v>
      </c>
      <c r="S53" s="17">
        <v>5</v>
      </c>
      <c r="T53" s="17" t="s">
        <v>82</v>
      </c>
      <c r="U53" s="17" t="s">
        <v>83</v>
      </c>
      <c r="V53" s="17" t="s">
        <v>83</v>
      </c>
    </row>
    <row r="54" spans="1:22" x14ac:dyDescent="0.35">
      <c r="A54" s="14" t="s">
        <v>148</v>
      </c>
      <c r="B54" s="14" t="s">
        <v>71</v>
      </c>
      <c r="C54" s="14" t="s">
        <v>140</v>
      </c>
      <c r="D54" s="14" t="s">
        <v>88</v>
      </c>
      <c r="E54" s="14" t="s">
        <v>80</v>
      </c>
      <c r="F54" s="15">
        <v>3.16</v>
      </c>
      <c r="G54" s="15">
        <v>14</v>
      </c>
      <c r="H54" s="15">
        <v>44.24</v>
      </c>
      <c r="I54" s="16">
        <v>83143</v>
      </c>
      <c r="J54" s="16">
        <v>3678246</v>
      </c>
      <c r="K54" s="16">
        <v>1250625</v>
      </c>
      <c r="L54" s="16">
        <v>2427621</v>
      </c>
      <c r="M54" s="16">
        <v>250125</v>
      </c>
      <c r="N54" s="16">
        <v>475238</v>
      </c>
      <c r="O54" s="16">
        <v>150075</v>
      </c>
      <c r="P54" s="16">
        <v>375188</v>
      </c>
      <c r="Q54" s="14" t="s">
        <v>90</v>
      </c>
      <c r="R54" s="14" t="s">
        <v>76</v>
      </c>
      <c r="S54" s="14">
        <v>3</v>
      </c>
      <c r="T54" s="14" t="s">
        <v>77</v>
      </c>
      <c r="U54" s="14" t="s">
        <v>78</v>
      </c>
      <c r="V54" s="14" t="s">
        <v>83</v>
      </c>
    </row>
    <row r="55" spans="1:22" x14ac:dyDescent="0.35">
      <c r="A55" s="17" t="s">
        <v>149</v>
      </c>
      <c r="B55" s="17" t="s">
        <v>71</v>
      </c>
      <c r="C55" s="17" t="s">
        <v>140</v>
      </c>
      <c r="D55" s="17" t="s">
        <v>73</v>
      </c>
      <c r="E55" s="17" t="s">
        <v>101</v>
      </c>
      <c r="F55" s="18">
        <v>3</v>
      </c>
      <c r="G55" s="18">
        <v>1.08</v>
      </c>
      <c r="H55" s="18">
        <v>3.24</v>
      </c>
      <c r="I55" s="19">
        <v>139236</v>
      </c>
      <c r="J55" s="19">
        <v>451125</v>
      </c>
      <c r="K55" s="19">
        <v>143889</v>
      </c>
      <c r="L55" s="19">
        <v>307236</v>
      </c>
      <c r="M55" s="19">
        <v>28778</v>
      </c>
      <c r="N55" s="19">
        <v>54678</v>
      </c>
      <c r="O55" s="19">
        <v>17267</v>
      </c>
      <c r="P55" s="19">
        <v>43167</v>
      </c>
      <c r="Q55" s="17" t="s">
        <v>90</v>
      </c>
      <c r="R55" s="17" t="s">
        <v>81</v>
      </c>
      <c r="S55" s="17">
        <v>4</v>
      </c>
      <c r="T55" s="17" t="s">
        <v>77</v>
      </c>
      <c r="U55" s="17" t="s">
        <v>78</v>
      </c>
      <c r="V55" s="17" t="s">
        <v>78</v>
      </c>
    </row>
    <row r="56" spans="1:22" x14ac:dyDescent="0.35">
      <c r="A56" s="14" t="s">
        <v>150</v>
      </c>
      <c r="B56" s="14" t="s">
        <v>71</v>
      </c>
      <c r="C56" s="14" t="s">
        <v>140</v>
      </c>
      <c r="D56" s="14" t="s">
        <v>73</v>
      </c>
      <c r="E56" s="14" t="s">
        <v>93</v>
      </c>
      <c r="F56" s="15">
        <v>3.5</v>
      </c>
      <c r="G56" s="15">
        <v>1</v>
      </c>
      <c r="H56" s="15">
        <v>3.5</v>
      </c>
      <c r="I56" s="16">
        <v>397116</v>
      </c>
      <c r="J56" s="16">
        <v>1389906</v>
      </c>
      <c r="K56" s="16">
        <v>541191</v>
      </c>
      <c r="L56" s="16">
        <v>848715</v>
      </c>
      <c r="M56" s="16">
        <v>108238</v>
      </c>
      <c r="N56" s="16">
        <v>205653</v>
      </c>
      <c r="O56" s="16">
        <v>64943</v>
      </c>
      <c r="P56" s="16">
        <v>162357</v>
      </c>
      <c r="Q56" s="14" t="s">
        <v>75</v>
      </c>
      <c r="R56" s="14" t="s">
        <v>76</v>
      </c>
      <c r="S56" s="14">
        <v>3</v>
      </c>
      <c r="T56" s="14" t="s">
        <v>77</v>
      </c>
      <c r="U56" s="14" t="s">
        <v>78</v>
      </c>
      <c r="V56" s="14" t="s">
        <v>78</v>
      </c>
    </row>
    <row r="57" spans="1:22" x14ac:dyDescent="0.35">
      <c r="A57" s="17" t="s">
        <v>151</v>
      </c>
      <c r="B57" s="17" t="s">
        <v>71</v>
      </c>
      <c r="C57" s="17" t="s">
        <v>152</v>
      </c>
      <c r="D57" s="17" t="s">
        <v>73</v>
      </c>
      <c r="E57" s="17" t="s">
        <v>111</v>
      </c>
      <c r="F57" s="18">
        <v>1.33</v>
      </c>
      <c r="G57" s="18">
        <v>0.89</v>
      </c>
      <c r="H57" s="18">
        <v>1.18</v>
      </c>
      <c r="I57" s="19">
        <v>433315</v>
      </c>
      <c r="J57" s="19">
        <v>511312</v>
      </c>
      <c r="K57" s="19">
        <v>211011</v>
      </c>
      <c r="L57" s="19">
        <v>300301</v>
      </c>
      <c r="M57" s="19">
        <v>42202</v>
      </c>
      <c r="N57" s="19">
        <v>80184</v>
      </c>
      <c r="O57" s="19">
        <v>25321</v>
      </c>
      <c r="P57" s="19">
        <v>63303</v>
      </c>
      <c r="Q57" s="17" t="s">
        <v>90</v>
      </c>
      <c r="R57" s="17" t="s">
        <v>81</v>
      </c>
      <c r="S57" s="17">
        <v>8</v>
      </c>
      <c r="T57" s="17" t="s">
        <v>82</v>
      </c>
      <c r="U57" s="17" t="s">
        <v>78</v>
      </c>
      <c r="V57" s="17" t="s">
        <v>83</v>
      </c>
    </row>
    <row r="58" spans="1:22" x14ac:dyDescent="0.35">
      <c r="A58" s="14" t="s">
        <v>153</v>
      </c>
      <c r="B58" s="14" t="s">
        <v>71</v>
      </c>
      <c r="C58" s="14" t="s">
        <v>152</v>
      </c>
      <c r="D58" s="14" t="s">
        <v>73</v>
      </c>
      <c r="E58" s="14" t="s">
        <v>111</v>
      </c>
      <c r="F58" s="15">
        <v>3.22</v>
      </c>
      <c r="G58" s="15">
        <v>0.72</v>
      </c>
      <c r="H58" s="15">
        <v>2.3199999999999998</v>
      </c>
      <c r="I58" s="16">
        <v>462223</v>
      </c>
      <c r="J58" s="16">
        <v>1072357</v>
      </c>
      <c r="K58" s="16">
        <v>387138</v>
      </c>
      <c r="L58" s="16">
        <v>685219</v>
      </c>
      <c r="M58" s="16">
        <v>77428</v>
      </c>
      <c r="N58" s="16">
        <v>147112</v>
      </c>
      <c r="O58" s="16">
        <v>46457</v>
      </c>
      <c r="P58" s="16">
        <v>116141</v>
      </c>
      <c r="Q58" s="14" t="s">
        <v>90</v>
      </c>
      <c r="R58" s="14" t="s">
        <v>81</v>
      </c>
      <c r="S58" s="14">
        <v>9</v>
      </c>
      <c r="T58" s="14" t="s">
        <v>77</v>
      </c>
      <c r="U58" s="14" t="s">
        <v>83</v>
      </c>
      <c r="V58" s="14" t="s">
        <v>78</v>
      </c>
    </row>
    <row r="59" spans="1:22" x14ac:dyDescent="0.35">
      <c r="A59" s="17" t="s">
        <v>154</v>
      </c>
      <c r="B59" s="17" t="s">
        <v>71</v>
      </c>
      <c r="C59" s="17" t="s">
        <v>152</v>
      </c>
      <c r="D59" s="17" t="s">
        <v>73</v>
      </c>
      <c r="E59" s="17" t="s">
        <v>74</v>
      </c>
      <c r="F59" s="18">
        <v>0.57999999999999996</v>
      </c>
      <c r="G59" s="18">
        <v>9.89</v>
      </c>
      <c r="H59" s="18">
        <v>5.74</v>
      </c>
      <c r="I59" s="19">
        <v>198916</v>
      </c>
      <c r="J59" s="19">
        <v>1141778</v>
      </c>
      <c r="K59" s="19">
        <v>415673</v>
      </c>
      <c r="L59" s="19">
        <v>726105</v>
      </c>
      <c r="M59" s="19">
        <v>83135</v>
      </c>
      <c r="N59" s="19">
        <v>157956</v>
      </c>
      <c r="O59" s="19">
        <v>49881</v>
      </c>
      <c r="P59" s="19">
        <v>124702</v>
      </c>
      <c r="Q59" s="17" t="s">
        <v>86</v>
      </c>
      <c r="R59" s="17" t="s">
        <v>76</v>
      </c>
      <c r="S59" s="17">
        <v>8</v>
      </c>
      <c r="T59" s="17" t="s">
        <v>82</v>
      </c>
      <c r="U59" s="17" t="s">
        <v>83</v>
      </c>
      <c r="V59" s="17" t="s">
        <v>83</v>
      </c>
    </row>
    <row r="60" spans="1:22" x14ac:dyDescent="0.35">
      <c r="A60" s="14" t="s">
        <v>155</v>
      </c>
      <c r="B60" s="14" t="s">
        <v>71</v>
      </c>
      <c r="C60" s="14" t="s">
        <v>152</v>
      </c>
      <c r="D60" s="14" t="s">
        <v>73</v>
      </c>
      <c r="E60" s="14" t="s">
        <v>101</v>
      </c>
      <c r="F60" s="15">
        <v>3.28</v>
      </c>
      <c r="G60" s="15">
        <v>1.0900000000000001</v>
      </c>
      <c r="H60" s="15">
        <v>3.58</v>
      </c>
      <c r="I60" s="16">
        <v>138109</v>
      </c>
      <c r="J60" s="16">
        <v>494430</v>
      </c>
      <c r="K60" s="16">
        <v>195362</v>
      </c>
      <c r="L60" s="16">
        <v>299068</v>
      </c>
      <c r="M60" s="16">
        <v>39072</v>
      </c>
      <c r="N60" s="16">
        <v>74238</v>
      </c>
      <c r="O60" s="16">
        <v>23443</v>
      </c>
      <c r="P60" s="16">
        <v>58609</v>
      </c>
      <c r="Q60" s="14" t="s">
        <v>86</v>
      </c>
      <c r="R60" s="14" t="s">
        <v>81</v>
      </c>
      <c r="S60" s="14">
        <v>8</v>
      </c>
      <c r="T60" s="14" t="s">
        <v>77</v>
      </c>
      <c r="U60" s="14" t="s">
        <v>83</v>
      </c>
      <c r="V60" s="14" t="s">
        <v>83</v>
      </c>
    </row>
    <row r="61" spans="1:22" x14ac:dyDescent="0.35">
      <c r="A61" s="17" t="s">
        <v>156</v>
      </c>
      <c r="B61" s="17" t="s">
        <v>71</v>
      </c>
      <c r="C61" s="17" t="s">
        <v>152</v>
      </c>
      <c r="D61" s="17" t="s">
        <v>88</v>
      </c>
      <c r="E61" s="17" t="s">
        <v>116</v>
      </c>
      <c r="F61" s="18">
        <v>1.1200000000000001</v>
      </c>
      <c r="G61" s="18">
        <v>1.55</v>
      </c>
      <c r="H61" s="18">
        <v>1.74</v>
      </c>
      <c r="I61" s="19">
        <v>151545</v>
      </c>
      <c r="J61" s="19">
        <v>263688</v>
      </c>
      <c r="K61" s="19">
        <v>96570</v>
      </c>
      <c r="L61" s="19">
        <v>167118</v>
      </c>
      <c r="M61" s="19">
        <v>19314</v>
      </c>
      <c r="N61" s="19">
        <v>36697</v>
      </c>
      <c r="O61" s="19">
        <v>11588</v>
      </c>
      <c r="P61" s="19">
        <v>28971</v>
      </c>
      <c r="Q61" s="17" t="s">
        <v>75</v>
      </c>
      <c r="R61" s="17" t="s">
        <v>81</v>
      </c>
      <c r="S61" s="17">
        <v>10</v>
      </c>
      <c r="T61" s="17" t="s">
        <v>82</v>
      </c>
      <c r="U61" s="17" t="s">
        <v>78</v>
      </c>
      <c r="V61" s="17" t="s">
        <v>83</v>
      </c>
    </row>
    <row r="62" spans="1:22" x14ac:dyDescent="0.35">
      <c r="A62" s="14" t="s">
        <v>157</v>
      </c>
      <c r="B62" s="14" t="s">
        <v>71</v>
      </c>
      <c r="C62" s="14" t="s">
        <v>152</v>
      </c>
      <c r="D62" s="14" t="s">
        <v>88</v>
      </c>
      <c r="E62" s="14" t="s">
        <v>111</v>
      </c>
      <c r="F62" s="15">
        <v>1.63</v>
      </c>
      <c r="G62" s="15">
        <v>0.65</v>
      </c>
      <c r="H62" s="15">
        <v>1.06</v>
      </c>
      <c r="I62" s="16">
        <v>553889</v>
      </c>
      <c r="J62" s="16">
        <v>587122</v>
      </c>
      <c r="K62" s="16">
        <v>187321</v>
      </c>
      <c r="L62" s="16">
        <v>399801</v>
      </c>
      <c r="M62" s="16">
        <v>37464</v>
      </c>
      <c r="N62" s="16">
        <v>71182</v>
      </c>
      <c r="O62" s="16">
        <v>22479</v>
      </c>
      <c r="P62" s="16">
        <v>56196</v>
      </c>
      <c r="Q62" s="14" t="s">
        <v>90</v>
      </c>
      <c r="R62" s="14" t="s">
        <v>76</v>
      </c>
      <c r="S62" s="14">
        <v>10</v>
      </c>
      <c r="T62" s="14" t="s">
        <v>82</v>
      </c>
      <c r="U62" s="14" t="s">
        <v>83</v>
      </c>
      <c r="V62" s="14" t="s">
        <v>83</v>
      </c>
    </row>
    <row r="63" spans="1:22" x14ac:dyDescent="0.35">
      <c r="A63" s="17" t="s">
        <v>158</v>
      </c>
      <c r="B63" s="17" t="s">
        <v>71</v>
      </c>
      <c r="C63" s="17" t="s">
        <v>152</v>
      </c>
      <c r="D63" s="17" t="s">
        <v>88</v>
      </c>
      <c r="E63" s="17" t="s">
        <v>96</v>
      </c>
      <c r="F63" s="18">
        <v>0.36</v>
      </c>
      <c r="G63" s="18">
        <v>0.72</v>
      </c>
      <c r="H63" s="18">
        <v>0.26</v>
      </c>
      <c r="I63" s="19">
        <v>352775</v>
      </c>
      <c r="J63" s="19">
        <v>91722</v>
      </c>
      <c r="K63" s="19">
        <v>28406</v>
      </c>
      <c r="L63" s="19">
        <v>63316</v>
      </c>
      <c r="M63" s="19">
        <v>5681</v>
      </c>
      <c r="N63" s="19">
        <v>10794</v>
      </c>
      <c r="O63" s="19">
        <v>3409</v>
      </c>
      <c r="P63" s="19">
        <v>8522</v>
      </c>
      <c r="Q63" s="17" t="s">
        <v>90</v>
      </c>
      <c r="R63" s="17" t="s">
        <v>81</v>
      </c>
      <c r="S63" s="17">
        <v>7</v>
      </c>
      <c r="T63" s="17" t="s">
        <v>82</v>
      </c>
      <c r="U63" s="17" t="s">
        <v>83</v>
      </c>
      <c r="V63" s="17" t="s">
        <v>83</v>
      </c>
    </row>
    <row r="64" spans="1:22" x14ac:dyDescent="0.35">
      <c r="A64" s="14" t="s">
        <v>159</v>
      </c>
      <c r="B64" s="14" t="s">
        <v>71</v>
      </c>
      <c r="C64" s="14" t="s">
        <v>152</v>
      </c>
      <c r="D64" s="14" t="s">
        <v>73</v>
      </c>
      <c r="E64" s="14" t="s">
        <v>85</v>
      </c>
      <c r="F64" s="15">
        <v>2.82</v>
      </c>
      <c r="G64" s="15">
        <v>1.1399999999999999</v>
      </c>
      <c r="H64" s="15">
        <v>3.21</v>
      </c>
      <c r="I64" s="16">
        <v>119913</v>
      </c>
      <c r="J64" s="16">
        <v>384921</v>
      </c>
      <c r="K64" s="16">
        <v>129680</v>
      </c>
      <c r="L64" s="16">
        <v>255241</v>
      </c>
      <c r="M64" s="16">
        <v>25936</v>
      </c>
      <c r="N64" s="16">
        <v>49278</v>
      </c>
      <c r="O64" s="16">
        <v>15562</v>
      </c>
      <c r="P64" s="16">
        <v>38904</v>
      </c>
      <c r="Q64" s="14" t="s">
        <v>75</v>
      </c>
      <c r="R64" s="14" t="s">
        <v>76</v>
      </c>
      <c r="S64" s="14">
        <v>10</v>
      </c>
      <c r="T64" s="14" t="s">
        <v>77</v>
      </c>
      <c r="U64" s="14" t="s">
        <v>83</v>
      </c>
      <c r="V64" s="14" t="s">
        <v>83</v>
      </c>
    </row>
    <row r="65" spans="1:22" x14ac:dyDescent="0.35">
      <c r="A65" s="17" t="s">
        <v>160</v>
      </c>
      <c r="B65" s="17" t="s">
        <v>71</v>
      </c>
      <c r="C65" s="17" t="s">
        <v>161</v>
      </c>
      <c r="D65" s="17" t="s">
        <v>73</v>
      </c>
      <c r="E65" s="17" t="s">
        <v>105</v>
      </c>
      <c r="F65" s="18">
        <v>0.55000000000000004</v>
      </c>
      <c r="G65" s="18">
        <v>1.08</v>
      </c>
      <c r="H65" s="18">
        <v>0.59</v>
      </c>
      <c r="I65" s="19">
        <v>444165</v>
      </c>
      <c r="J65" s="19">
        <v>262057</v>
      </c>
      <c r="K65" s="19">
        <v>84610</v>
      </c>
      <c r="L65" s="19">
        <v>177447</v>
      </c>
      <c r="M65" s="19">
        <v>16922</v>
      </c>
      <c r="N65" s="19">
        <v>32152</v>
      </c>
      <c r="O65" s="19">
        <v>10153</v>
      </c>
      <c r="P65" s="19">
        <v>25383</v>
      </c>
      <c r="Q65" s="17" t="s">
        <v>75</v>
      </c>
      <c r="R65" s="17" t="s">
        <v>81</v>
      </c>
      <c r="S65" s="17">
        <v>10</v>
      </c>
      <c r="T65" s="17" t="s">
        <v>82</v>
      </c>
      <c r="U65" s="17" t="s">
        <v>83</v>
      </c>
      <c r="V65" s="17" t="s">
        <v>83</v>
      </c>
    </row>
    <row r="66" spans="1:22" x14ac:dyDescent="0.35">
      <c r="A66" s="14" t="s">
        <v>162</v>
      </c>
      <c r="B66" s="14" t="s">
        <v>71</v>
      </c>
      <c r="C66" s="14" t="s">
        <v>161</v>
      </c>
      <c r="D66" s="14" t="s">
        <v>88</v>
      </c>
      <c r="E66" s="14" t="s">
        <v>101</v>
      </c>
      <c r="F66" s="15">
        <v>5.98</v>
      </c>
      <c r="G66" s="15">
        <v>1.05</v>
      </c>
      <c r="H66" s="15">
        <v>6.28</v>
      </c>
      <c r="I66" s="16">
        <v>119443</v>
      </c>
      <c r="J66" s="16">
        <v>750102</v>
      </c>
      <c r="K66" s="16">
        <v>257678</v>
      </c>
      <c r="L66" s="16">
        <v>492424</v>
      </c>
      <c r="M66" s="16">
        <v>51536</v>
      </c>
      <c r="N66" s="16">
        <v>97918</v>
      </c>
      <c r="O66" s="16">
        <v>30921</v>
      </c>
      <c r="P66" s="16">
        <v>77303</v>
      </c>
      <c r="Q66" s="14" t="s">
        <v>90</v>
      </c>
      <c r="R66" s="14" t="s">
        <v>81</v>
      </c>
      <c r="S66" s="14">
        <v>6</v>
      </c>
      <c r="T66" s="14" t="s">
        <v>163</v>
      </c>
      <c r="U66" s="14" t="s">
        <v>78</v>
      </c>
      <c r="V66" s="14" t="s">
        <v>83</v>
      </c>
    </row>
    <row r="67" spans="1:22" x14ac:dyDescent="0.35">
      <c r="A67" s="17" t="s">
        <v>164</v>
      </c>
      <c r="B67" s="17" t="s">
        <v>71</v>
      </c>
      <c r="C67" s="17" t="s">
        <v>161</v>
      </c>
      <c r="D67" s="17" t="s">
        <v>88</v>
      </c>
      <c r="E67" s="17" t="s">
        <v>98</v>
      </c>
      <c r="F67" s="18">
        <v>0.86</v>
      </c>
      <c r="G67" s="18">
        <v>1.91</v>
      </c>
      <c r="H67" s="18">
        <v>1.64</v>
      </c>
      <c r="I67" s="19">
        <v>355957</v>
      </c>
      <c r="J67" s="19">
        <v>583769</v>
      </c>
      <c r="K67" s="19">
        <v>178587</v>
      </c>
      <c r="L67" s="19">
        <v>405182</v>
      </c>
      <c r="M67" s="19">
        <v>35717</v>
      </c>
      <c r="N67" s="19">
        <v>67863</v>
      </c>
      <c r="O67" s="19">
        <v>21430</v>
      </c>
      <c r="P67" s="19">
        <v>53576</v>
      </c>
      <c r="Q67" s="17" t="s">
        <v>86</v>
      </c>
      <c r="R67" s="17" t="s">
        <v>81</v>
      </c>
      <c r="S67" s="17">
        <v>7</v>
      </c>
      <c r="T67" s="17" t="s">
        <v>82</v>
      </c>
      <c r="U67" s="17" t="s">
        <v>83</v>
      </c>
      <c r="V67" s="17" t="s">
        <v>83</v>
      </c>
    </row>
    <row r="68" spans="1:22" x14ac:dyDescent="0.35">
      <c r="A68" s="14" t="s">
        <v>165</v>
      </c>
      <c r="B68" s="14" t="s">
        <v>71</v>
      </c>
      <c r="C68" s="14" t="s">
        <v>161</v>
      </c>
      <c r="D68" s="14" t="s">
        <v>88</v>
      </c>
      <c r="E68" s="14" t="s">
        <v>93</v>
      </c>
      <c r="F68" s="15">
        <v>3.44</v>
      </c>
      <c r="G68" s="15">
        <v>1.1200000000000001</v>
      </c>
      <c r="H68" s="15">
        <v>3.85</v>
      </c>
      <c r="I68" s="16">
        <v>356772</v>
      </c>
      <c r="J68" s="16">
        <v>1373572</v>
      </c>
      <c r="K68" s="16">
        <v>453998</v>
      </c>
      <c r="L68" s="16">
        <v>919574</v>
      </c>
      <c r="M68" s="16">
        <v>90800</v>
      </c>
      <c r="N68" s="16">
        <v>172519</v>
      </c>
      <c r="O68" s="16">
        <v>54480</v>
      </c>
      <c r="P68" s="16">
        <v>136199</v>
      </c>
      <c r="Q68" s="14" t="s">
        <v>90</v>
      </c>
      <c r="R68" s="14" t="s">
        <v>76</v>
      </c>
      <c r="S68" s="14">
        <v>11</v>
      </c>
      <c r="T68" s="14" t="s">
        <v>77</v>
      </c>
      <c r="U68" s="14" t="s">
        <v>78</v>
      </c>
      <c r="V68" s="14" t="s">
        <v>83</v>
      </c>
    </row>
    <row r="69" spans="1:22" x14ac:dyDescent="0.35">
      <c r="A69" s="17" t="s">
        <v>166</v>
      </c>
      <c r="B69" s="17" t="s">
        <v>71</v>
      </c>
      <c r="C69" s="17" t="s">
        <v>161</v>
      </c>
      <c r="D69" s="17" t="s">
        <v>73</v>
      </c>
      <c r="E69" s="17" t="s">
        <v>80</v>
      </c>
      <c r="F69" s="18">
        <v>2.99</v>
      </c>
      <c r="G69" s="18">
        <v>16.78</v>
      </c>
      <c r="H69" s="18">
        <v>50.17</v>
      </c>
      <c r="I69" s="19">
        <v>84349</v>
      </c>
      <c r="J69" s="19">
        <v>4231789</v>
      </c>
      <c r="K69" s="19">
        <v>1699421</v>
      </c>
      <c r="L69" s="19">
        <v>2532368</v>
      </c>
      <c r="M69" s="19">
        <v>339884</v>
      </c>
      <c r="N69" s="19">
        <v>645780</v>
      </c>
      <c r="O69" s="19">
        <v>203931</v>
      </c>
      <c r="P69" s="19">
        <v>509826</v>
      </c>
      <c r="Q69" s="17" t="s">
        <v>90</v>
      </c>
      <c r="R69" s="17" t="s">
        <v>76</v>
      </c>
      <c r="S69" s="17">
        <v>3</v>
      </c>
      <c r="T69" s="17" t="s">
        <v>77</v>
      </c>
      <c r="U69" s="17" t="s">
        <v>83</v>
      </c>
      <c r="V69" s="17" t="s">
        <v>83</v>
      </c>
    </row>
    <row r="70" spans="1:22" x14ac:dyDescent="0.35">
      <c r="A70" s="14" t="s">
        <v>167</v>
      </c>
      <c r="B70" s="14" t="s">
        <v>71</v>
      </c>
      <c r="C70" s="14" t="s">
        <v>161</v>
      </c>
      <c r="D70" s="14" t="s">
        <v>88</v>
      </c>
      <c r="E70" s="14" t="s">
        <v>105</v>
      </c>
      <c r="F70" s="15">
        <v>1.49</v>
      </c>
      <c r="G70" s="15">
        <v>0.9</v>
      </c>
      <c r="H70" s="15">
        <v>1.34</v>
      </c>
      <c r="I70" s="16">
        <v>363473</v>
      </c>
      <c r="J70" s="16">
        <v>487054</v>
      </c>
      <c r="K70" s="16">
        <v>200544</v>
      </c>
      <c r="L70" s="16">
        <v>286510</v>
      </c>
      <c r="M70" s="16">
        <v>40109</v>
      </c>
      <c r="N70" s="16">
        <v>76207</v>
      </c>
      <c r="O70" s="16">
        <v>24065</v>
      </c>
      <c r="P70" s="16">
        <v>60163</v>
      </c>
      <c r="Q70" s="14" t="s">
        <v>90</v>
      </c>
      <c r="R70" s="14" t="s">
        <v>76</v>
      </c>
      <c r="S70" s="14">
        <v>4</v>
      </c>
      <c r="T70" s="14" t="s">
        <v>82</v>
      </c>
      <c r="U70" s="14" t="s">
        <v>78</v>
      </c>
      <c r="V70" s="14" t="s">
        <v>83</v>
      </c>
    </row>
    <row r="71" spans="1:22" x14ac:dyDescent="0.35">
      <c r="A71" s="17" t="s">
        <v>168</v>
      </c>
      <c r="B71" s="17" t="s">
        <v>71</v>
      </c>
      <c r="C71" s="17" t="s">
        <v>161</v>
      </c>
      <c r="D71" s="17" t="s">
        <v>73</v>
      </c>
      <c r="E71" s="17" t="s">
        <v>74</v>
      </c>
      <c r="F71" s="18">
        <v>0.71</v>
      </c>
      <c r="G71" s="18">
        <v>10.09</v>
      </c>
      <c r="H71" s="18">
        <v>7.16</v>
      </c>
      <c r="I71" s="19">
        <v>204253</v>
      </c>
      <c r="J71" s="19">
        <v>1462451</v>
      </c>
      <c r="K71" s="19">
        <v>426926</v>
      </c>
      <c r="L71" s="19">
        <v>1035525</v>
      </c>
      <c r="M71" s="19">
        <v>85385</v>
      </c>
      <c r="N71" s="19">
        <v>162232</v>
      </c>
      <c r="O71" s="19">
        <v>51231</v>
      </c>
      <c r="P71" s="19">
        <v>128078</v>
      </c>
      <c r="Q71" s="17" t="s">
        <v>86</v>
      </c>
      <c r="R71" s="17" t="s">
        <v>76</v>
      </c>
      <c r="S71" s="17">
        <v>11</v>
      </c>
      <c r="T71" s="17" t="s">
        <v>82</v>
      </c>
      <c r="U71" s="17" t="s">
        <v>78</v>
      </c>
      <c r="V71" s="17" t="s">
        <v>83</v>
      </c>
    </row>
    <row r="72" spans="1:22" x14ac:dyDescent="0.35">
      <c r="A72" s="14" t="s">
        <v>169</v>
      </c>
      <c r="B72" s="14" t="s">
        <v>71</v>
      </c>
      <c r="C72" s="14" t="s">
        <v>161</v>
      </c>
      <c r="D72" s="14" t="s">
        <v>73</v>
      </c>
      <c r="E72" s="14" t="s">
        <v>111</v>
      </c>
      <c r="F72" s="15">
        <v>3.21</v>
      </c>
      <c r="G72" s="15">
        <v>0.84</v>
      </c>
      <c r="H72" s="15">
        <v>2.7</v>
      </c>
      <c r="I72" s="16">
        <v>550050</v>
      </c>
      <c r="J72" s="16">
        <v>1485135</v>
      </c>
      <c r="K72" s="16">
        <v>477663</v>
      </c>
      <c r="L72" s="16">
        <v>1007472</v>
      </c>
      <c r="M72" s="16">
        <v>95533</v>
      </c>
      <c r="N72" s="16">
        <v>181512</v>
      </c>
      <c r="O72" s="16">
        <v>57320</v>
      </c>
      <c r="P72" s="16">
        <v>143299</v>
      </c>
      <c r="Q72" s="14" t="s">
        <v>75</v>
      </c>
      <c r="R72" s="14" t="s">
        <v>81</v>
      </c>
      <c r="S72" s="14">
        <v>7</v>
      </c>
      <c r="T72" s="14" t="s">
        <v>77</v>
      </c>
      <c r="U72" s="14" t="s">
        <v>83</v>
      </c>
      <c r="V72" s="14" t="s">
        <v>83</v>
      </c>
    </row>
    <row r="73" spans="1:22" x14ac:dyDescent="0.35">
      <c r="A73" s="17" t="s">
        <v>170</v>
      </c>
      <c r="B73" s="17" t="s">
        <v>71</v>
      </c>
      <c r="C73" s="17" t="s">
        <v>161</v>
      </c>
      <c r="D73" s="17" t="s">
        <v>73</v>
      </c>
      <c r="E73" s="17" t="s">
        <v>80</v>
      </c>
      <c r="F73" s="18">
        <v>4.76</v>
      </c>
      <c r="G73" s="18">
        <v>12.37</v>
      </c>
      <c r="H73" s="18">
        <v>58.88</v>
      </c>
      <c r="I73" s="19">
        <v>86764</v>
      </c>
      <c r="J73" s="19">
        <v>5108664</v>
      </c>
      <c r="K73" s="19">
        <v>1902773</v>
      </c>
      <c r="L73" s="19">
        <v>3205891</v>
      </c>
      <c r="M73" s="19">
        <v>380555</v>
      </c>
      <c r="N73" s="19">
        <v>723054</v>
      </c>
      <c r="O73" s="19">
        <v>228333</v>
      </c>
      <c r="P73" s="19">
        <v>570832</v>
      </c>
      <c r="Q73" s="17" t="s">
        <v>86</v>
      </c>
      <c r="R73" s="17" t="s">
        <v>76</v>
      </c>
      <c r="S73" s="17">
        <v>5</v>
      </c>
      <c r="T73" s="17" t="s">
        <v>77</v>
      </c>
      <c r="U73" s="17" t="s">
        <v>83</v>
      </c>
      <c r="V73" s="17" t="s">
        <v>78</v>
      </c>
    </row>
    <row r="74" spans="1:22" x14ac:dyDescent="0.35">
      <c r="A74" s="14" t="s">
        <v>171</v>
      </c>
      <c r="B74" s="14" t="s">
        <v>71</v>
      </c>
      <c r="C74" s="14" t="s">
        <v>161</v>
      </c>
      <c r="D74" s="14" t="s">
        <v>73</v>
      </c>
      <c r="E74" s="14" t="s">
        <v>116</v>
      </c>
      <c r="F74" s="15">
        <v>1.93</v>
      </c>
      <c r="G74" s="15">
        <v>2</v>
      </c>
      <c r="H74" s="15">
        <v>3.86</v>
      </c>
      <c r="I74" s="16">
        <v>143691</v>
      </c>
      <c r="J74" s="16">
        <v>554647</v>
      </c>
      <c r="K74" s="16">
        <v>157836</v>
      </c>
      <c r="L74" s="16">
        <v>396811</v>
      </c>
      <c r="M74" s="16">
        <v>31567</v>
      </c>
      <c r="N74" s="16">
        <v>59978</v>
      </c>
      <c r="O74" s="16">
        <v>18940</v>
      </c>
      <c r="P74" s="16">
        <v>47351</v>
      </c>
      <c r="Q74" s="14" t="s">
        <v>90</v>
      </c>
      <c r="R74" s="14" t="s">
        <v>81</v>
      </c>
      <c r="S74" s="14">
        <v>10</v>
      </c>
      <c r="T74" s="14" t="s">
        <v>82</v>
      </c>
      <c r="U74" s="14" t="s">
        <v>78</v>
      </c>
      <c r="V74" s="14" t="s">
        <v>83</v>
      </c>
    </row>
    <row r="75" spans="1:22" x14ac:dyDescent="0.35">
      <c r="A75" s="17" t="s">
        <v>172</v>
      </c>
      <c r="B75" s="17" t="s">
        <v>71</v>
      </c>
      <c r="C75" s="17" t="s">
        <v>161</v>
      </c>
      <c r="D75" s="17" t="s">
        <v>88</v>
      </c>
      <c r="E75" s="17" t="s">
        <v>98</v>
      </c>
      <c r="F75" s="18">
        <v>2.86</v>
      </c>
      <c r="G75" s="18">
        <v>2.0099999999999998</v>
      </c>
      <c r="H75" s="18">
        <v>5.75</v>
      </c>
      <c r="I75" s="19">
        <v>345957</v>
      </c>
      <c r="J75" s="19">
        <v>1989253</v>
      </c>
      <c r="K75" s="19">
        <v>817013</v>
      </c>
      <c r="L75" s="19">
        <v>1172240</v>
      </c>
      <c r="M75" s="19">
        <v>163403</v>
      </c>
      <c r="N75" s="19">
        <v>310465</v>
      </c>
      <c r="O75" s="19">
        <v>98042</v>
      </c>
      <c r="P75" s="19">
        <v>245104</v>
      </c>
      <c r="Q75" s="17" t="s">
        <v>90</v>
      </c>
      <c r="R75" s="17" t="s">
        <v>76</v>
      </c>
      <c r="S75" s="17">
        <v>11</v>
      </c>
      <c r="T75" s="17" t="s">
        <v>77</v>
      </c>
      <c r="U75" s="17" t="s">
        <v>78</v>
      </c>
      <c r="V75" s="17" t="s">
        <v>83</v>
      </c>
    </row>
    <row r="76" spans="1:22" x14ac:dyDescent="0.35">
      <c r="A76" s="14" t="s">
        <v>173</v>
      </c>
      <c r="B76" s="14" t="s">
        <v>71</v>
      </c>
      <c r="C76" s="14" t="s">
        <v>161</v>
      </c>
      <c r="D76" s="14" t="s">
        <v>88</v>
      </c>
      <c r="E76" s="14" t="s">
        <v>116</v>
      </c>
      <c r="F76" s="15">
        <v>3.39</v>
      </c>
      <c r="G76" s="15">
        <v>1.1399999999999999</v>
      </c>
      <c r="H76" s="15">
        <v>3.86</v>
      </c>
      <c r="I76" s="16">
        <v>130468</v>
      </c>
      <c r="J76" s="16">
        <v>503606</v>
      </c>
      <c r="K76" s="16">
        <v>162698</v>
      </c>
      <c r="L76" s="16">
        <v>340908</v>
      </c>
      <c r="M76" s="16">
        <v>32540</v>
      </c>
      <c r="N76" s="16">
        <v>61825</v>
      </c>
      <c r="O76" s="16">
        <v>19524</v>
      </c>
      <c r="P76" s="16">
        <v>48809</v>
      </c>
      <c r="Q76" s="14" t="s">
        <v>75</v>
      </c>
      <c r="R76" s="14" t="s">
        <v>81</v>
      </c>
      <c r="S76" s="14">
        <v>10</v>
      </c>
      <c r="T76" s="14" t="s">
        <v>77</v>
      </c>
      <c r="U76" s="14" t="s">
        <v>78</v>
      </c>
      <c r="V76" s="14" t="s">
        <v>83</v>
      </c>
    </row>
    <row r="77" spans="1:22" x14ac:dyDescent="0.35">
      <c r="A77" s="17" t="s">
        <v>174</v>
      </c>
      <c r="B77" s="17" t="s">
        <v>71</v>
      </c>
      <c r="C77" s="17" t="s">
        <v>161</v>
      </c>
      <c r="D77" s="17" t="s">
        <v>88</v>
      </c>
      <c r="E77" s="17" t="s">
        <v>85</v>
      </c>
      <c r="F77" s="18">
        <v>4.74</v>
      </c>
      <c r="G77" s="18">
        <v>1.19</v>
      </c>
      <c r="H77" s="18">
        <v>5.64</v>
      </c>
      <c r="I77" s="19">
        <v>129758</v>
      </c>
      <c r="J77" s="19">
        <v>731835</v>
      </c>
      <c r="K77" s="19">
        <v>213156</v>
      </c>
      <c r="L77" s="19">
        <v>518679</v>
      </c>
      <c r="M77" s="19">
        <v>42631</v>
      </c>
      <c r="N77" s="19">
        <v>80999</v>
      </c>
      <c r="O77" s="19">
        <v>25579</v>
      </c>
      <c r="P77" s="19">
        <v>63947</v>
      </c>
      <c r="Q77" s="17" t="s">
        <v>86</v>
      </c>
      <c r="R77" s="17" t="s">
        <v>81</v>
      </c>
      <c r="S77" s="17">
        <v>8</v>
      </c>
      <c r="T77" s="17" t="s">
        <v>77</v>
      </c>
      <c r="U77" s="17" t="s">
        <v>83</v>
      </c>
      <c r="V77" s="17" t="s">
        <v>83</v>
      </c>
    </row>
    <row r="78" spans="1:22" x14ac:dyDescent="0.35">
      <c r="A78" s="14" t="s">
        <v>175</v>
      </c>
      <c r="B78" s="14" t="s">
        <v>71</v>
      </c>
      <c r="C78" s="14" t="s">
        <v>161</v>
      </c>
      <c r="D78" s="14" t="s">
        <v>73</v>
      </c>
      <c r="E78" s="14" t="s">
        <v>80</v>
      </c>
      <c r="F78" s="15">
        <v>1.53</v>
      </c>
      <c r="G78" s="15">
        <v>16.57</v>
      </c>
      <c r="H78" s="15">
        <v>25.35</v>
      </c>
      <c r="I78" s="16">
        <v>105275</v>
      </c>
      <c r="J78" s="16">
        <v>2668721</v>
      </c>
      <c r="K78" s="16">
        <v>966603</v>
      </c>
      <c r="L78" s="16">
        <v>1702118</v>
      </c>
      <c r="M78" s="16">
        <v>193321</v>
      </c>
      <c r="N78" s="16">
        <v>367309</v>
      </c>
      <c r="O78" s="16">
        <v>115992</v>
      </c>
      <c r="P78" s="16">
        <v>289981</v>
      </c>
      <c r="Q78" s="14" t="s">
        <v>86</v>
      </c>
      <c r="R78" s="14" t="s">
        <v>81</v>
      </c>
      <c r="S78" s="14">
        <v>12</v>
      </c>
      <c r="T78" s="14" t="s">
        <v>82</v>
      </c>
      <c r="U78" s="14" t="s">
        <v>78</v>
      </c>
      <c r="V78" s="14" t="s">
        <v>78</v>
      </c>
    </row>
    <row r="79" spans="1:22" x14ac:dyDescent="0.35">
      <c r="A79" s="17" t="s">
        <v>176</v>
      </c>
      <c r="B79" s="17" t="s">
        <v>71</v>
      </c>
      <c r="C79" s="17" t="s">
        <v>161</v>
      </c>
      <c r="D79" s="17" t="s">
        <v>88</v>
      </c>
      <c r="E79" s="17" t="s">
        <v>105</v>
      </c>
      <c r="F79" s="18">
        <v>2.77</v>
      </c>
      <c r="G79" s="18">
        <v>0.89</v>
      </c>
      <c r="H79" s="18">
        <v>2.4700000000000002</v>
      </c>
      <c r="I79" s="19">
        <v>430752</v>
      </c>
      <c r="J79" s="19">
        <v>1063957</v>
      </c>
      <c r="K79" s="19">
        <v>392462</v>
      </c>
      <c r="L79" s="19">
        <v>671495</v>
      </c>
      <c r="M79" s="19">
        <v>78492</v>
      </c>
      <c r="N79" s="19">
        <v>149136</v>
      </c>
      <c r="O79" s="19">
        <v>47095</v>
      </c>
      <c r="P79" s="19">
        <v>117739</v>
      </c>
      <c r="Q79" s="17" t="s">
        <v>90</v>
      </c>
      <c r="R79" s="17" t="s">
        <v>76</v>
      </c>
      <c r="S79" s="17">
        <v>10</v>
      </c>
      <c r="T79" s="17" t="s">
        <v>77</v>
      </c>
      <c r="U79" s="17" t="s">
        <v>78</v>
      </c>
      <c r="V79" s="17" t="s">
        <v>83</v>
      </c>
    </row>
    <row r="80" spans="1:22" x14ac:dyDescent="0.35">
      <c r="A80" s="14" t="s">
        <v>177</v>
      </c>
      <c r="B80" s="14" t="s">
        <v>71</v>
      </c>
      <c r="C80" s="14" t="s">
        <v>178</v>
      </c>
      <c r="D80" s="14" t="s">
        <v>73</v>
      </c>
      <c r="E80" s="14" t="s">
        <v>101</v>
      </c>
      <c r="F80" s="15">
        <v>5.22</v>
      </c>
      <c r="G80" s="15">
        <v>1.08</v>
      </c>
      <c r="H80" s="15">
        <v>5.64</v>
      </c>
      <c r="I80" s="16">
        <v>132263</v>
      </c>
      <c r="J80" s="16">
        <v>745963</v>
      </c>
      <c r="K80" s="16">
        <v>238970</v>
      </c>
      <c r="L80" s="16">
        <v>506993</v>
      </c>
      <c r="M80" s="16">
        <v>47794</v>
      </c>
      <c r="N80" s="16">
        <v>90809</v>
      </c>
      <c r="O80" s="16">
        <v>28676</v>
      </c>
      <c r="P80" s="16">
        <v>71691</v>
      </c>
      <c r="Q80" s="14" t="s">
        <v>90</v>
      </c>
      <c r="R80" s="14" t="s">
        <v>76</v>
      </c>
      <c r="S80" s="14">
        <v>10</v>
      </c>
      <c r="T80" s="14" t="s">
        <v>163</v>
      </c>
      <c r="U80" s="14" t="s">
        <v>78</v>
      </c>
      <c r="V80" s="14" t="s">
        <v>83</v>
      </c>
    </row>
    <row r="81" spans="1:22" x14ac:dyDescent="0.35">
      <c r="A81" s="17" t="s">
        <v>179</v>
      </c>
      <c r="B81" s="17" t="s">
        <v>71</v>
      </c>
      <c r="C81" s="17" t="s">
        <v>178</v>
      </c>
      <c r="D81" s="17" t="s">
        <v>88</v>
      </c>
      <c r="E81" s="17" t="s">
        <v>85</v>
      </c>
      <c r="F81" s="18">
        <v>1.02</v>
      </c>
      <c r="G81" s="18">
        <v>1.38</v>
      </c>
      <c r="H81" s="18">
        <v>1.41</v>
      </c>
      <c r="I81" s="19">
        <v>144232</v>
      </c>
      <c r="J81" s="19">
        <v>203367</v>
      </c>
      <c r="K81" s="19">
        <v>80430</v>
      </c>
      <c r="L81" s="19">
        <v>122937</v>
      </c>
      <c r="M81" s="19">
        <v>16086</v>
      </c>
      <c r="N81" s="19">
        <v>30563</v>
      </c>
      <c r="O81" s="19">
        <v>9652</v>
      </c>
      <c r="P81" s="19">
        <v>24129</v>
      </c>
      <c r="Q81" s="17" t="s">
        <v>86</v>
      </c>
      <c r="R81" s="17" t="s">
        <v>81</v>
      </c>
      <c r="S81" s="17">
        <v>9</v>
      </c>
      <c r="T81" s="17" t="s">
        <v>82</v>
      </c>
      <c r="U81" s="17" t="s">
        <v>78</v>
      </c>
      <c r="V81" s="17" t="s">
        <v>78</v>
      </c>
    </row>
    <row r="82" spans="1:22" x14ac:dyDescent="0.35">
      <c r="A82" s="14" t="s">
        <v>180</v>
      </c>
      <c r="B82" s="14" t="s">
        <v>71</v>
      </c>
      <c r="C82" s="14" t="s">
        <v>178</v>
      </c>
      <c r="D82" s="14" t="s">
        <v>88</v>
      </c>
      <c r="E82" s="14" t="s">
        <v>93</v>
      </c>
      <c r="F82" s="15">
        <v>2.37</v>
      </c>
      <c r="G82" s="15">
        <v>0.93</v>
      </c>
      <c r="H82" s="15">
        <v>2.2000000000000002</v>
      </c>
      <c r="I82" s="16">
        <v>373393</v>
      </c>
      <c r="J82" s="16">
        <v>821465</v>
      </c>
      <c r="K82" s="16">
        <v>235946</v>
      </c>
      <c r="L82" s="16">
        <v>585519</v>
      </c>
      <c r="M82" s="16">
        <v>47189</v>
      </c>
      <c r="N82" s="16">
        <v>89659</v>
      </c>
      <c r="O82" s="16">
        <v>28314</v>
      </c>
      <c r="P82" s="16">
        <v>70784</v>
      </c>
      <c r="Q82" s="14" t="s">
        <v>90</v>
      </c>
      <c r="R82" s="14" t="s">
        <v>76</v>
      </c>
      <c r="S82" s="14">
        <v>7</v>
      </c>
      <c r="T82" s="14" t="s">
        <v>77</v>
      </c>
      <c r="U82" s="14" t="s">
        <v>78</v>
      </c>
      <c r="V82" s="14" t="s">
        <v>83</v>
      </c>
    </row>
    <row r="83" spans="1:22" x14ac:dyDescent="0.35">
      <c r="A83" s="17" t="s">
        <v>181</v>
      </c>
      <c r="B83" s="17" t="s">
        <v>71</v>
      </c>
      <c r="C83" s="17" t="s">
        <v>178</v>
      </c>
      <c r="D83" s="17" t="s">
        <v>73</v>
      </c>
      <c r="E83" s="17" t="s">
        <v>105</v>
      </c>
      <c r="F83" s="18">
        <v>0.38</v>
      </c>
      <c r="G83" s="18">
        <v>1.4</v>
      </c>
      <c r="H83" s="18">
        <v>0.53</v>
      </c>
      <c r="I83" s="19">
        <v>457714</v>
      </c>
      <c r="J83" s="19">
        <v>242588</v>
      </c>
      <c r="K83" s="19">
        <v>92031</v>
      </c>
      <c r="L83" s="19">
        <v>150557</v>
      </c>
      <c r="M83" s="19">
        <v>18406</v>
      </c>
      <c r="N83" s="19">
        <v>34972</v>
      </c>
      <c r="O83" s="19">
        <v>11044</v>
      </c>
      <c r="P83" s="19">
        <v>27609</v>
      </c>
      <c r="Q83" s="17" t="s">
        <v>90</v>
      </c>
      <c r="R83" s="17" t="s">
        <v>76</v>
      </c>
      <c r="S83" s="17">
        <v>11</v>
      </c>
      <c r="T83" s="17" t="s">
        <v>82</v>
      </c>
      <c r="U83" s="17" t="s">
        <v>78</v>
      </c>
      <c r="V83" s="17" t="s">
        <v>78</v>
      </c>
    </row>
    <row r="84" spans="1:22" x14ac:dyDescent="0.35">
      <c r="A84" s="14" t="s">
        <v>182</v>
      </c>
      <c r="B84" s="14" t="s">
        <v>71</v>
      </c>
      <c r="C84" s="14" t="s">
        <v>178</v>
      </c>
      <c r="D84" s="14" t="s">
        <v>73</v>
      </c>
      <c r="E84" s="14" t="s">
        <v>98</v>
      </c>
      <c r="F84" s="15">
        <v>1.88</v>
      </c>
      <c r="G84" s="15">
        <v>1.7</v>
      </c>
      <c r="H84" s="15">
        <v>3.2</v>
      </c>
      <c r="I84" s="16">
        <v>362882</v>
      </c>
      <c r="J84" s="16">
        <v>1161222</v>
      </c>
      <c r="K84" s="16">
        <v>406164</v>
      </c>
      <c r="L84" s="16">
        <v>755058</v>
      </c>
      <c r="M84" s="16">
        <v>81233</v>
      </c>
      <c r="N84" s="16">
        <v>154342</v>
      </c>
      <c r="O84" s="16">
        <v>48740</v>
      </c>
      <c r="P84" s="16">
        <v>121849</v>
      </c>
      <c r="Q84" s="14" t="s">
        <v>75</v>
      </c>
      <c r="R84" s="14" t="s">
        <v>81</v>
      </c>
      <c r="S84" s="14">
        <v>11</v>
      </c>
      <c r="T84" s="14" t="s">
        <v>82</v>
      </c>
      <c r="U84" s="14" t="s">
        <v>83</v>
      </c>
      <c r="V84" s="14" t="s">
        <v>83</v>
      </c>
    </row>
    <row r="85" spans="1:22" x14ac:dyDescent="0.35">
      <c r="A85" s="17" t="s">
        <v>183</v>
      </c>
      <c r="B85" s="17" t="s">
        <v>71</v>
      </c>
      <c r="C85" s="17" t="s">
        <v>178</v>
      </c>
      <c r="D85" s="17" t="s">
        <v>88</v>
      </c>
      <c r="E85" s="17" t="s">
        <v>96</v>
      </c>
      <c r="F85" s="18">
        <v>2.46</v>
      </c>
      <c r="G85" s="18">
        <v>0.5</v>
      </c>
      <c r="H85" s="18">
        <v>1.23</v>
      </c>
      <c r="I85" s="19">
        <v>395998</v>
      </c>
      <c r="J85" s="19">
        <v>487078</v>
      </c>
      <c r="K85" s="19">
        <v>162539</v>
      </c>
      <c r="L85" s="19">
        <v>324539</v>
      </c>
      <c r="M85" s="19">
        <v>32508</v>
      </c>
      <c r="N85" s="19">
        <v>61765</v>
      </c>
      <c r="O85" s="19">
        <v>19505</v>
      </c>
      <c r="P85" s="19">
        <v>48762</v>
      </c>
      <c r="Q85" s="17" t="s">
        <v>75</v>
      </c>
      <c r="R85" s="17" t="s">
        <v>76</v>
      </c>
      <c r="S85" s="17">
        <v>4</v>
      </c>
      <c r="T85" s="17" t="s">
        <v>77</v>
      </c>
      <c r="U85" s="17" t="s">
        <v>78</v>
      </c>
      <c r="V85" s="17" t="s">
        <v>83</v>
      </c>
    </row>
    <row r="86" spans="1:22" x14ac:dyDescent="0.35">
      <c r="A86" s="14" t="s">
        <v>184</v>
      </c>
      <c r="B86" s="14" t="s">
        <v>71</v>
      </c>
      <c r="C86" s="14" t="s">
        <v>178</v>
      </c>
      <c r="D86" s="14" t="s">
        <v>88</v>
      </c>
      <c r="E86" s="14" t="s">
        <v>101</v>
      </c>
      <c r="F86" s="15">
        <v>5.01</v>
      </c>
      <c r="G86" s="15">
        <v>0.89</v>
      </c>
      <c r="H86" s="15">
        <v>4.46</v>
      </c>
      <c r="I86" s="16">
        <v>117446</v>
      </c>
      <c r="J86" s="16">
        <v>523809</v>
      </c>
      <c r="K86" s="16">
        <v>189709</v>
      </c>
      <c r="L86" s="16">
        <v>334100</v>
      </c>
      <c r="M86" s="16">
        <v>37942</v>
      </c>
      <c r="N86" s="16">
        <v>72089</v>
      </c>
      <c r="O86" s="16">
        <v>22765</v>
      </c>
      <c r="P86" s="16">
        <v>56913</v>
      </c>
      <c r="Q86" s="14" t="s">
        <v>75</v>
      </c>
      <c r="R86" s="14" t="s">
        <v>81</v>
      </c>
      <c r="S86" s="14">
        <v>5</v>
      </c>
      <c r="T86" s="14" t="s">
        <v>163</v>
      </c>
      <c r="U86" s="14" t="s">
        <v>78</v>
      </c>
      <c r="V86" s="14" t="s">
        <v>83</v>
      </c>
    </row>
    <row r="87" spans="1:22" x14ac:dyDescent="0.35">
      <c r="A87" s="17" t="s">
        <v>185</v>
      </c>
      <c r="B87" s="17" t="s">
        <v>71</v>
      </c>
      <c r="C87" s="17" t="s">
        <v>178</v>
      </c>
      <c r="D87" s="17" t="s">
        <v>88</v>
      </c>
      <c r="E87" s="17" t="s">
        <v>105</v>
      </c>
      <c r="F87" s="18">
        <v>1.2</v>
      </c>
      <c r="G87" s="18">
        <v>1.28</v>
      </c>
      <c r="H87" s="18">
        <v>1.54</v>
      </c>
      <c r="I87" s="19">
        <v>404528</v>
      </c>
      <c r="J87" s="19">
        <v>622973</v>
      </c>
      <c r="K87" s="19">
        <v>255792</v>
      </c>
      <c r="L87" s="19">
        <v>367181</v>
      </c>
      <c r="M87" s="19">
        <v>51158</v>
      </c>
      <c r="N87" s="19">
        <v>97201</v>
      </c>
      <c r="O87" s="19">
        <v>30695</v>
      </c>
      <c r="P87" s="19">
        <v>76738</v>
      </c>
      <c r="Q87" s="17" t="s">
        <v>86</v>
      </c>
      <c r="R87" s="17" t="s">
        <v>76</v>
      </c>
      <c r="S87" s="17">
        <v>12</v>
      </c>
      <c r="T87" s="17" t="s">
        <v>82</v>
      </c>
      <c r="U87" s="17" t="s">
        <v>78</v>
      </c>
      <c r="V87" s="17" t="s">
        <v>78</v>
      </c>
    </row>
    <row r="88" spans="1:22" x14ac:dyDescent="0.35">
      <c r="A88" s="14" t="s">
        <v>186</v>
      </c>
      <c r="B88" s="14" t="s">
        <v>71</v>
      </c>
      <c r="C88" s="14" t="s">
        <v>178</v>
      </c>
      <c r="D88" s="14" t="s">
        <v>73</v>
      </c>
      <c r="E88" s="14" t="s">
        <v>96</v>
      </c>
      <c r="F88" s="15">
        <v>1</v>
      </c>
      <c r="G88" s="15">
        <v>0.69</v>
      </c>
      <c r="H88" s="15">
        <v>0.69</v>
      </c>
      <c r="I88" s="16">
        <v>438371</v>
      </c>
      <c r="J88" s="16">
        <v>302476</v>
      </c>
      <c r="K88" s="16">
        <v>100837</v>
      </c>
      <c r="L88" s="16">
        <v>201639</v>
      </c>
      <c r="M88" s="16">
        <v>20167</v>
      </c>
      <c r="N88" s="16">
        <v>38318</v>
      </c>
      <c r="O88" s="16">
        <v>12100</v>
      </c>
      <c r="P88" s="16">
        <v>30251</v>
      </c>
      <c r="Q88" s="14" t="s">
        <v>75</v>
      </c>
      <c r="R88" s="14" t="s">
        <v>76</v>
      </c>
      <c r="S88" s="14">
        <v>10</v>
      </c>
      <c r="T88" s="14" t="s">
        <v>82</v>
      </c>
      <c r="U88" s="14" t="s">
        <v>78</v>
      </c>
      <c r="V88" s="14" t="s">
        <v>78</v>
      </c>
    </row>
    <row r="89" spans="1:22" x14ac:dyDescent="0.35">
      <c r="A89" s="17" t="s">
        <v>187</v>
      </c>
      <c r="B89" s="17" t="s">
        <v>71</v>
      </c>
      <c r="C89" s="17" t="s">
        <v>178</v>
      </c>
      <c r="D89" s="17" t="s">
        <v>88</v>
      </c>
      <c r="E89" s="17" t="s">
        <v>93</v>
      </c>
      <c r="F89" s="18">
        <v>3.11</v>
      </c>
      <c r="G89" s="18">
        <v>1.1399999999999999</v>
      </c>
      <c r="H89" s="18">
        <v>3.55</v>
      </c>
      <c r="I89" s="19">
        <v>373195</v>
      </c>
      <c r="J89" s="19">
        <v>1324842</v>
      </c>
      <c r="K89" s="19">
        <v>468508</v>
      </c>
      <c r="L89" s="19">
        <v>856334</v>
      </c>
      <c r="M89" s="19">
        <v>93702</v>
      </c>
      <c r="N89" s="19">
        <v>178033</v>
      </c>
      <c r="O89" s="19">
        <v>56221</v>
      </c>
      <c r="P89" s="19">
        <v>140552</v>
      </c>
      <c r="Q89" s="17" t="s">
        <v>90</v>
      </c>
      <c r="R89" s="17" t="s">
        <v>76</v>
      </c>
      <c r="S89" s="17">
        <v>5</v>
      </c>
      <c r="T89" s="17" t="s">
        <v>77</v>
      </c>
      <c r="U89" s="17" t="s">
        <v>78</v>
      </c>
      <c r="V89" s="17" t="s">
        <v>83</v>
      </c>
    </row>
    <row r="90" spans="1:22" x14ac:dyDescent="0.35">
      <c r="A90" s="14" t="s">
        <v>188</v>
      </c>
      <c r="B90" s="14" t="s">
        <v>71</v>
      </c>
      <c r="C90" s="14" t="s">
        <v>178</v>
      </c>
      <c r="D90" s="14" t="s">
        <v>73</v>
      </c>
      <c r="E90" s="14" t="s">
        <v>116</v>
      </c>
      <c r="F90" s="15">
        <v>2.14</v>
      </c>
      <c r="G90" s="15">
        <v>2.31</v>
      </c>
      <c r="H90" s="15">
        <v>4.9400000000000004</v>
      </c>
      <c r="I90" s="16">
        <v>137977</v>
      </c>
      <c r="J90" s="16">
        <v>681606</v>
      </c>
      <c r="K90" s="16">
        <v>256951</v>
      </c>
      <c r="L90" s="16">
        <v>424655</v>
      </c>
      <c r="M90" s="16">
        <v>51390</v>
      </c>
      <c r="N90" s="16">
        <v>97641</v>
      </c>
      <c r="O90" s="16">
        <v>30834</v>
      </c>
      <c r="P90" s="16">
        <v>77085</v>
      </c>
      <c r="Q90" s="14" t="s">
        <v>75</v>
      </c>
      <c r="R90" s="14" t="s">
        <v>76</v>
      </c>
      <c r="S90" s="14">
        <v>8</v>
      </c>
      <c r="T90" s="14" t="s">
        <v>77</v>
      </c>
      <c r="U90" s="14" t="s">
        <v>83</v>
      </c>
      <c r="V90" s="14" t="s">
        <v>83</v>
      </c>
    </row>
    <row r="91" spans="1:22" x14ac:dyDescent="0.35">
      <c r="A91" s="17" t="s">
        <v>189</v>
      </c>
      <c r="B91" s="17" t="s">
        <v>71</v>
      </c>
      <c r="C91" s="17" t="s">
        <v>178</v>
      </c>
      <c r="D91" s="17" t="s">
        <v>88</v>
      </c>
      <c r="E91" s="17" t="s">
        <v>96</v>
      </c>
      <c r="F91" s="18">
        <v>1.68</v>
      </c>
      <c r="G91" s="18">
        <v>0.73</v>
      </c>
      <c r="H91" s="18">
        <v>1.23</v>
      </c>
      <c r="I91" s="19">
        <v>388590</v>
      </c>
      <c r="J91" s="19">
        <v>477966</v>
      </c>
      <c r="K91" s="19">
        <v>170033</v>
      </c>
      <c r="L91" s="19">
        <v>307933</v>
      </c>
      <c r="M91" s="19">
        <v>34007</v>
      </c>
      <c r="N91" s="19">
        <v>64613</v>
      </c>
      <c r="O91" s="19">
        <v>20404</v>
      </c>
      <c r="P91" s="19">
        <v>51010</v>
      </c>
      <c r="Q91" s="17" t="s">
        <v>75</v>
      </c>
      <c r="R91" s="17" t="s">
        <v>76</v>
      </c>
      <c r="S91" s="17">
        <v>6</v>
      </c>
      <c r="T91" s="17" t="s">
        <v>82</v>
      </c>
      <c r="U91" s="17" t="s">
        <v>83</v>
      </c>
      <c r="V91" s="17" t="s">
        <v>83</v>
      </c>
    </row>
    <row r="92" spans="1:22" x14ac:dyDescent="0.35">
      <c r="A92" s="14" t="s">
        <v>190</v>
      </c>
      <c r="B92" s="14" t="s">
        <v>71</v>
      </c>
      <c r="C92" s="14" t="s">
        <v>178</v>
      </c>
      <c r="D92" s="14" t="s">
        <v>73</v>
      </c>
      <c r="E92" s="14" t="s">
        <v>85</v>
      </c>
      <c r="F92" s="15">
        <v>3.86</v>
      </c>
      <c r="G92" s="15">
        <v>1.34</v>
      </c>
      <c r="H92" s="15">
        <v>5.17</v>
      </c>
      <c r="I92" s="16">
        <v>114339</v>
      </c>
      <c r="J92" s="16">
        <v>591133</v>
      </c>
      <c r="K92" s="16">
        <v>217965</v>
      </c>
      <c r="L92" s="16">
        <v>373168</v>
      </c>
      <c r="M92" s="16">
        <v>43593</v>
      </c>
      <c r="N92" s="16">
        <v>82827</v>
      </c>
      <c r="O92" s="16">
        <v>26156</v>
      </c>
      <c r="P92" s="16">
        <v>65390</v>
      </c>
      <c r="Q92" s="14" t="s">
        <v>86</v>
      </c>
      <c r="R92" s="14" t="s">
        <v>81</v>
      </c>
      <c r="S92" s="14">
        <v>5</v>
      </c>
      <c r="T92" s="14" t="s">
        <v>77</v>
      </c>
      <c r="U92" s="14" t="s">
        <v>83</v>
      </c>
      <c r="V92" s="14" t="s">
        <v>83</v>
      </c>
    </row>
    <row r="93" spans="1:22" x14ac:dyDescent="0.35">
      <c r="A93" s="17" t="s">
        <v>191</v>
      </c>
      <c r="B93" s="17" t="s">
        <v>192</v>
      </c>
      <c r="C93" s="17" t="s">
        <v>193</v>
      </c>
      <c r="D93" s="17" t="s">
        <v>88</v>
      </c>
      <c r="E93" s="17" t="s">
        <v>80</v>
      </c>
      <c r="F93" s="18">
        <v>4.08</v>
      </c>
      <c r="G93" s="18">
        <v>11.17</v>
      </c>
      <c r="H93" s="18">
        <v>45.57</v>
      </c>
      <c r="I93" s="19">
        <v>91433</v>
      </c>
      <c r="J93" s="19">
        <v>4166602</v>
      </c>
      <c r="K93" s="19">
        <v>1251563</v>
      </c>
      <c r="L93" s="19">
        <v>2915039</v>
      </c>
      <c r="M93" s="19">
        <v>250313</v>
      </c>
      <c r="N93" s="19">
        <v>475594</v>
      </c>
      <c r="O93" s="19">
        <v>150188</v>
      </c>
      <c r="P93" s="19">
        <v>375469</v>
      </c>
      <c r="Q93" s="17" t="s">
        <v>75</v>
      </c>
      <c r="R93" s="17" t="s">
        <v>81</v>
      </c>
      <c r="S93" s="17">
        <v>12</v>
      </c>
      <c r="T93" s="17" t="s">
        <v>77</v>
      </c>
      <c r="U93" s="17" t="s">
        <v>83</v>
      </c>
      <c r="V93" s="17" t="s">
        <v>78</v>
      </c>
    </row>
    <row r="94" spans="1:22" x14ac:dyDescent="0.35">
      <c r="A94" s="14" t="s">
        <v>194</v>
      </c>
      <c r="B94" s="14" t="s">
        <v>192</v>
      </c>
      <c r="C94" s="14" t="s">
        <v>193</v>
      </c>
      <c r="D94" s="14" t="s">
        <v>73</v>
      </c>
      <c r="E94" s="14" t="s">
        <v>116</v>
      </c>
      <c r="F94" s="15">
        <v>0.78</v>
      </c>
      <c r="G94" s="15">
        <v>2.2000000000000002</v>
      </c>
      <c r="H94" s="15">
        <v>1.72</v>
      </c>
      <c r="I94" s="16">
        <v>150207</v>
      </c>
      <c r="J94" s="16">
        <v>258356</v>
      </c>
      <c r="K94" s="16">
        <v>81050</v>
      </c>
      <c r="L94" s="16">
        <v>177306</v>
      </c>
      <c r="M94" s="16">
        <v>16210</v>
      </c>
      <c r="N94" s="16">
        <v>30799</v>
      </c>
      <c r="O94" s="16">
        <v>9726</v>
      </c>
      <c r="P94" s="16">
        <v>24315</v>
      </c>
      <c r="Q94" s="14" t="s">
        <v>75</v>
      </c>
      <c r="R94" s="14" t="s">
        <v>76</v>
      </c>
      <c r="S94" s="14">
        <v>6</v>
      </c>
      <c r="T94" s="14" t="s">
        <v>82</v>
      </c>
      <c r="U94" s="14" t="s">
        <v>78</v>
      </c>
      <c r="V94" s="14" t="s">
        <v>83</v>
      </c>
    </row>
    <row r="95" spans="1:22" x14ac:dyDescent="0.35">
      <c r="A95" s="17" t="s">
        <v>195</v>
      </c>
      <c r="B95" s="17" t="s">
        <v>192</v>
      </c>
      <c r="C95" s="17" t="s">
        <v>193</v>
      </c>
      <c r="D95" s="17" t="s">
        <v>88</v>
      </c>
      <c r="E95" s="17" t="s">
        <v>85</v>
      </c>
      <c r="F95" s="18">
        <v>1.65</v>
      </c>
      <c r="G95" s="18">
        <v>0.84</v>
      </c>
      <c r="H95" s="18">
        <v>1.39</v>
      </c>
      <c r="I95" s="19">
        <v>141881</v>
      </c>
      <c r="J95" s="19">
        <v>197215</v>
      </c>
      <c r="K95" s="19">
        <v>80103</v>
      </c>
      <c r="L95" s="19">
        <v>117112</v>
      </c>
      <c r="M95" s="19">
        <v>16021</v>
      </c>
      <c r="N95" s="19">
        <v>30439</v>
      </c>
      <c r="O95" s="19">
        <v>9612</v>
      </c>
      <c r="P95" s="19">
        <v>24031</v>
      </c>
      <c r="Q95" s="17" t="s">
        <v>75</v>
      </c>
      <c r="R95" s="17" t="s">
        <v>76</v>
      </c>
      <c r="S95" s="17">
        <v>4</v>
      </c>
      <c r="T95" s="17" t="s">
        <v>82</v>
      </c>
      <c r="U95" s="17" t="s">
        <v>78</v>
      </c>
      <c r="V95" s="17" t="s">
        <v>83</v>
      </c>
    </row>
    <row r="96" spans="1:22" x14ac:dyDescent="0.35">
      <c r="A96" s="14" t="s">
        <v>196</v>
      </c>
      <c r="B96" s="14" t="s">
        <v>192</v>
      </c>
      <c r="C96" s="14" t="s">
        <v>193</v>
      </c>
      <c r="D96" s="14" t="s">
        <v>88</v>
      </c>
      <c r="E96" s="14" t="s">
        <v>111</v>
      </c>
      <c r="F96" s="15">
        <v>2.74</v>
      </c>
      <c r="G96" s="15">
        <v>0.73</v>
      </c>
      <c r="H96" s="15">
        <v>2</v>
      </c>
      <c r="I96" s="16">
        <v>453264</v>
      </c>
      <c r="J96" s="16">
        <v>906528</v>
      </c>
      <c r="K96" s="16">
        <v>361109</v>
      </c>
      <c r="L96" s="16">
        <v>545419</v>
      </c>
      <c r="M96" s="16">
        <v>72222</v>
      </c>
      <c r="N96" s="16">
        <v>137221</v>
      </c>
      <c r="O96" s="16">
        <v>43333</v>
      </c>
      <c r="P96" s="16">
        <v>108333</v>
      </c>
      <c r="Q96" s="14" t="s">
        <v>86</v>
      </c>
      <c r="R96" s="14" t="s">
        <v>81</v>
      </c>
      <c r="S96" s="14">
        <v>10</v>
      </c>
      <c r="T96" s="14" t="s">
        <v>77</v>
      </c>
      <c r="U96" s="14" t="s">
        <v>78</v>
      </c>
      <c r="V96" s="14" t="s">
        <v>78</v>
      </c>
    </row>
    <row r="97" spans="1:22" x14ac:dyDescent="0.35">
      <c r="A97" s="17" t="s">
        <v>197</v>
      </c>
      <c r="B97" s="17" t="s">
        <v>192</v>
      </c>
      <c r="C97" s="17" t="s">
        <v>193</v>
      </c>
      <c r="D97" s="17" t="s">
        <v>88</v>
      </c>
      <c r="E97" s="17" t="s">
        <v>96</v>
      </c>
      <c r="F97" s="18">
        <v>1.56</v>
      </c>
      <c r="G97" s="18">
        <v>0.77</v>
      </c>
      <c r="H97" s="18">
        <v>1.2</v>
      </c>
      <c r="I97" s="19">
        <v>366042</v>
      </c>
      <c r="J97" s="19">
        <v>439250</v>
      </c>
      <c r="K97" s="19">
        <v>183129</v>
      </c>
      <c r="L97" s="19">
        <v>256121</v>
      </c>
      <c r="M97" s="19">
        <v>36626</v>
      </c>
      <c r="N97" s="19">
        <v>69589</v>
      </c>
      <c r="O97" s="19">
        <v>21975</v>
      </c>
      <c r="P97" s="19">
        <v>54939</v>
      </c>
      <c r="Q97" s="17" t="s">
        <v>75</v>
      </c>
      <c r="R97" s="17" t="s">
        <v>81</v>
      </c>
      <c r="S97" s="17">
        <v>7</v>
      </c>
      <c r="T97" s="17" t="s">
        <v>82</v>
      </c>
      <c r="U97" s="17" t="s">
        <v>78</v>
      </c>
      <c r="V97" s="17" t="s">
        <v>83</v>
      </c>
    </row>
    <row r="98" spans="1:22" x14ac:dyDescent="0.35">
      <c r="A98" s="14" t="s">
        <v>198</v>
      </c>
      <c r="B98" s="14" t="s">
        <v>192</v>
      </c>
      <c r="C98" s="14" t="s">
        <v>193</v>
      </c>
      <c r="D98" s="14" t="s">
        <v>88</v>
      </c>
      <c r="E98" s="14" t="s">
        <v>80</v>
      </c>
      <c r="F98" s="15">
        <v>4.25</v>
      </c>
      <c r="G98" s="15">
        <v>15.83</v>
      </c>
      <c r="H98" s="15">
        <v>67.28</v>
      </c>
      <c r="I98" s="16">
        <v>102859</v>
      </c>
      <c r="J98" s="16">
        <v>6920354</v>
      </c>
      <c r="K98" s="16">
        <v>2160649</v>
      </c>
      <c r="L98" s="16">
        <v>4759705</v>
      </c>
      <c r="M98" s="16">
        <v>432130</v>
      </c>
      <c r="N98" s="16">
        <v>821047</v>
      </c>
      <c r="O98" s="16">
        <v>259278</v>
      </c>
      <c r="P98" s="16">
        <v>648195</v>
      </c>
      <c r="Q98" s="14" t="s">
        <v>90</v>
      </c>
      <c r="R98" s="14" t="s">
        <v>76</v>
      </c>
      <c r="S98" s="14">
        <v>6</v>
      </c>
      <c r="T98" s="14" t="s">
        <v>77</v>
      </c>
      <c r="U98" s="14" t="s">
        <v>83</v>
      </c>
      <c r="V98" s="14" t="s">
        <v>83</v>
      </c>
    </row>
    <row r="99" spans="1:22" x14ac:dyDescent="0.35">
      <c r="A99" s="17" t="s">
        <v>199</v>
      </c>
      <c r="B99" s="17" t="s">
        <v>192</v>
      </c>
      <c r="C99" s="17" t="s">
        <v>193</v>
      </c>
      <c r="D99" s="17" t="s">
        <v>73</v>
      </c>
      <c r="E99" s="17" t="s">
        <v>116</v>
      </c>
      <c r="F99" s="18">
        <v>3.66</v>
      </c>
      <c r="G99" s="18">
        <v>1.96</v>
      </c>
      <c r="H99" s="18">
        <v>7.17</v>
      </c>
      <c r="I99" s="19">
        <v>136689</v>
      </c>
      <c r="J99" s="19">
        <v>980060</v>
      </c>
      <c r="K99" s="19">
        <v>334901</v>
      </c>
      <c r="L99" s="19">
        <v>645159</v>
      </c>
      <c r="M99" s="19">
        <v>66980</v>
      </c>
      <c r="N99" s="19">
        <v>127262</v>
      </c>
      <c r="O99" s="19">
        <v>40188</v>
      </c>
      <c r="P99" s="19">
        <v>100470</v>
      </c>
      <c r="Q99" s="17" t="s">
        <v>75</v>
      </c>
      <c r="R99" s="17" t="s">
        <v>81</v>
      </c>
      <c r="S99" s="17">
        <v>5</v>
      </c>
      <c r="T99" s="17" t="s">
        <v>77</v>
      </c>
      <c r="U99" s="17" t="s">
        <v>78</v>
      </c>
      <c r="V99" s="17" t="s">
        <v>83</v>
      </c>
    </row>
    <row r="100" spans="1:22" x14ac:dyDescent="0.35">
      <c r="A100" s="14" t="s">
        <v>200</v>
      </c>
      <c r="B100" s="14" t="s">
        <v>192</v>
      </c>
      <c r="C100" s="14" t="s">
        <v>193</v>
      </c>
      <c r="D100" s="14" t="s">
        <v>88</v>
      </c>
      <c r="E100" s="14" t="s">
        <v>101</v>
      </c>
      <c r="F100" s="15">
        <v>1.47</v>
      </c>
      <c r="G100" s="15">
        <v>0.79</v>
      </c>
      <c r="H100" s="15">
        <v>1.1599999999999999</v>
      </c>
      <c r="I100" s="16">
        <v>126478</v>
      </c>
      <c r="J100" s="16">
        <v>146714</v>
      </c>
      <c r="K100" s="16">
        <v>61034</v>
      </c>
      <c r="L100" s="16">
        <v>85680</v>
      </c>
      <c r="M100" s="16">
        <v>12207</v>
      </c>
      <c r="N100" s="16">
        <v>23193</v>
      </c>
      <c r="O100" s="16">
        <v>7324</v>
      </c>
      <c r="P100" s="16">
        <v>18310</v>
      </c>
      <c r="Q100" s="14" t="s">
        <v>75</v>
      </c>
      <c r="R100" s="14" t="s">
        <v>81</v>
      </c>
      <c r="S100" s="14">
        <v>5</v>
      </c>
      <c r="T100" s="14" t="s">
        <v>82</v>
      </c>
      <c r="U100" s="14" t="s">
        <v>78</v>
      </c>
      <c r="V100" s="14" t="s">
        <v>83</v>
      </c>
    </row>
    <row r="101" spans="1:22" x14ac:dyDescent="0.35">
      <c r="A101" s="17" t="s">
        <v>201</v>
      </c>
      <c r="B101" s="17" t="s">
        <v>192</v>
      </c>
      <c r="C101" s="17" t="s">
        <v>202</v>
      </c>
      <c r="D101" s="17" t="s">
        <v>73</v>
      </c>
      <c r="E101" s="17" t="s">
        <v>101</v>
      </c>
      <c r="F101" s="18">
        <v>3.08</v>
      </c>
      <c r="G101" s="18">
        <v>0.89</v>
      </c>
      <c r="H101" s="18">
        <v>2.74</v>
      </c>
      <c r="I101" s="19">
        <v>134531</v>
      </c>
      <c r="J101" s="19">
        <v>368615</v>
      </c>
      <c r="K101" s="19">
        <v>114855</v>
      </c>
      <c r="L101" s="19">
        <v>253760</v>
      </c>
      <c r="M101" s="19">
        <v>22971</v>
      </c>
      <c r="N101" s="19">
        <v>43645</v>
      </c>
      <c r="O101" s="19">
        <v>13783</v>
      </c>
      <c r="P101" s="19">
        <v>34456</v>
      </c>
      <c r="Q101" s="17" t="s">
        <v>75</v>
      </c>
      <c r="R101" s="17" t="s">
        <v>81</v>
      </c>
      <c r="S101" s="17">
        <v>11</v>
      </c>
      <c r="T101" s="17" t="s">
        <v>77</v>
      </c>
      <c r="U101" s="17" t="s">
        <v>78</v>
      </c>
      <c r="V101" s="17" t="s">
        <v>78</v>
      </c>
    </row>
    <row r="102" spans="1:22" x14ac:dyDescent="0.35">
      <c r="A102" s="14" t="s">
        <v>203</v>
      </c>
      <c r="B102" s="14" t="s">
        <v>192</v>
      </c>
      <c r="C102" s="14" t="s">
        <v>202</v>
      </c>
      <c r="D102" s="14" t="s">
        <v>73</v>
      </c>
      <c r="E102" s="14" t="s">
        <v>96</v>
      </c>
      <c r="F102" s="15">
        <v>0.88</v>
      </c>
      <c r="G102" s="15">
        <v>0.54</v>
      </c>
      <c r="H102" s="15">
        <v>0.48</v>
      </c>
      <c r="I102" s="16">
        <v>374625</v>
      </c>
      <c r="J102" s="16">
        <v>179820</v>
      </c>
      <c r="K102" s="16">
        <v>69206</v>
      </c>
      <c r="L102" s="16">
        <v>110614</v>
      </c>
      <c r="M102" s="16">
        <v>13841</v>
      </c>
      <c r="N102" s="16">
        <v>26298</v>
      </c>
      <c r="O102" s="16">
        <v>8305</v>
      </c>
      <c r="P102" s="16">
        <v>20762</v>
      </c>
      <c r="Q102" s="14" t="s">
        <v>90</v>
      </c>
      <c r="R102" s="14" t="s">
        <v>81</v>
      </c>
      <c r="S102" s="14">
        <v>8</v>
      </c>
      <c r="T102" s="14" t="s">
        <v>82</v>
      </c>
      <c r="U102" s="14" t="s">
        <v>78</v>
      </c>
      <c r="V102" s="14" t="s">
        <v>83</v>
      </c>
    </row>
    <row r="103" spans="1:22" x14ac:dyDescent="0.35">
      <c r="A103" s="17" t="s">
        <v>204</v>
      </c>
      <c r="B103" s="17" t="s">
        <v>192</v>
      </c>
      <c r="C103" s="17" t="s">
        <v>202</v>
      </c>
      <c r="D103" s="17" t="s">
        <v>88</v>
      </c>
      <c r="E103" s="17" t="s">
        <v>98</v>
      </c>
      <c r="F103" s="18">
        <v>0.57999999999999996</v>
      </c>
      <c r="G103" s="18">
        <v>2.2999999999999998</v>
      </c>
      <c r="H103" s="18">
        <v>1.33</v>
      </c>
      <c r="I103" s="19">
        <v>336079</v>
      </c>
      <c r="J103" s="19">
        <v>446985</v>
      </c>
      <c r="K103" s="19">
        <v>182431</v>
      </c>
      <c r="L103" s="19">
        <v>264554</v>
      </c>
      <c r="M103" s="19">
        <v>36486</v>
      </c>
      <c r="N103" s="19">
        <v>69324</v>
      </c>
      <c r="O103" s="19">
        <v>21892</v>
      </c>
      <c r="P103" s="19">
        <v>54729</v>
      </c>
      <c r="Q103" s="17" t="s">
        <v>86</v>
      </c>
      <c r="R103" s="17" t="s">
        <v>76</v>
      </c>
      <c r="S103" s="17">
        <v>10</v>
      </c>
      <c r="T103" s="17" t="s">
        <v>82</v>
      </c>
      <c r="U103" s="17" t="s">
        <v>83</v>
      </c>
      <c r="V103" s="17" t="s">
        <v>83</v>
      </c>
    </row>
    <row r="104" spans="1:22" x14ac:dyDescent="0.35">
      <c r="A104" s="14" t="s">
        <v>205</v>
      </c>
      <c r="B104" s="14" t="s">
        <v>192</v>
      </c>
      <c r="C104" s="14" t="s">
        <v>202</v>
      </c>
      <c r="D104" s="14" t="s">
        <v>73</v>
      </c>
      <c r="E104" s="14" t="s">
        <v>96</v>
      </c>
      <c r="F104" s="15">
        <v>0.61</v>
      </c>
      <c r="G104" s="15">
        <v>0.89</v>
      </c>
      <c r="H104" s="15">
        <v>0.54</v>
      </c>
      <c r="I104" s="16">
        <v>367111</v>
      </c>
      <c r="J104" s="16">
        <v>198240</v>
      </c>
      <c r="K104" s="16">
        <v>69179</v>
      </c>
      <c r="L104" s="16">
        <v>129061</v>
      </c>
      <c r="M104" s="16">
        <v>13836</v>
      </c>
      <c r="N104" s="16">
        <v>26288</v>
      </c>
      <c r="O104" s="16">
        <v>8301</v>
      </c>
      <c r="P104" s="16">
        <v>20754</v>
      </c>
      <c r="Q104" s="14" t="s">
        <v>86</v>
      </c>
      <c r="R104" s="14" t="s">
        <v>76</v>
      </c>
      <c r="S104" s="14">
        <v>11</v>
      </c>
      <c r="T104" s="14" t="s">
        <v>82</v>
      </c>
      <c r="U104" s="14" t="s">
        <v>78</v>
      </c>
      <c r="V104" s="14" t="s">
        <v>83</v>
      </c>
    </row>
    <row r="105" spans="1:22" x14ac:dyDescent="0.35">
      <c r="A105" s="17" t="s">
        <v>206</v>
      </c>
      <c r="B105" s="17" t="s">
        <v>192</v>
      </c>
      <c r="C105" s="17" t="s">
        <v>202</v>
      </c>
      <c r="D105" s="17" t="s">
        <v>88</v>
      </c>
      <c r="E105" s="17" t="s">
        <v>105</v>
      </c>
      <c r="F105" s="18">
        <v>2.11</v>
      </c>
      <c r="G105" s="18">
        <v>1.27</v>
      </c>
      <c r="H105" s="18">
        <v>2.68</v>
      </c>
      <c r="I105" s="19">
        <v>476193</v>
      </c>
      <c r="J105" s="19">
        <v>1276197</v>
      </c>
      <c r="K105" s="19">
        <v>432220</v>
      </c>
      <c r="L105" s="19">
        <v>843977</v>
      </c>
      <c r="M105" s="19">
        <v>86444</v>
      </c>
      <c r="N105" s="19">
        <v>164244</v>
      </c>
      <c r="O105" s="19">
        <v>51866</v>
      </c>
      <c r="P105" s="19">
        <v>129666</v>
      </c>
      <c r="Q105" s="17" t="s">
        <v>75</v>
      </c>
      <c r="R105" s="17" t="s">
        <v>76</v>
      </c>
      <c r="S105" s="17">
        <v>9</v>
      </c>
      <c r="T105" s="17" t="s">
        <v>77</v>
      </c>
      <c r="U105" s="17" t="s">
        <v>83</v>
      </c>
      <c r="V105" s="17" t="s">
        <v>78</v>
      </c>
    </row>
    <row r="106" spans="1:22" x14ac:dyDescent="0.35">
      <c r="A106" s="14" t="s">
        <v>207</v>
      </c>
      <c r="B106" s="14" t="s">
        <v>192</v>
      </c>
      <c r="C106" s="14" t="s">
        <v>202</v>
      </c>
      <c r="D106" s="14" t="s">
        <v>88</v>
      </c>
      <c r="E106" s="14" t="s">
        <v>105</v>
      </c>
      <c r="F106" s="15">
        <v>2.84</v>
      </c>
      <c r="G106" s="15">
        <v>0.96</v>
      </c>
      <c r="H106" s="15">
        <v>2.73</v>
      </c>
      <c r="I106" s="16">
        <v>443975</v>
      </c>
      <c r="J106" s="16">
        <v>1212052</v>
      </c>
      <c r="K106" s="16">
        <v>376242</v>
      </c>
      <c r="L106" s="16">
        <v>835810</v>
      </c>
      <c r="M106" s="16">
        <v>75248</v>
      </c>
      <c r="N106" s="16">
        <v>142972</v>
      </c>
      <c r="O106" s="16">
        <v>45149</v>
      </c>
      <c r="P106" s="16">
        <v>112873</v>
      </c>
      <c r="Q106" s="14" t="s">
        <v>90</v>
      </c>
      <c r="R106" s="14" t="s">
        <v>76</v>
      </c>
      <c r="S106" s="14">
        <v>8</v>
      </c>
      <c r="T106" s="14" t="s">
        <v>77</v>
      </c>
      <c r="U106" s="14" t="s">
        <v>78</v>
      </c>
      <c r="V106" s="14" t="s">
        <v>83</v>
      </c>
    </row>
    <row r="107" spans="1:22" x14ac:dyDescent="0.35">
      <c r="A107" s="17" t="s">
        <v>208</v>
      </c>
      <c r="B107" s="17" t="s">
        <v>192</v>
      </c>
      <c r="C107" s="17" t="s">
        <v>202</v>
      </c>
      <c r="D107" s="17" t="s">
        <v>88</v>
      </c>
      <c r="E107" s="17" t="s">
        <v>101</v>
      </c>
      <c r="F107" s="18">
        <v>0.83</v>
      </c>
      <c r="G107" s="18">
        <v>0.88</v>
      </c>
      <c r="H107" s="18">
        <v>0.73</v>
      </c>
      <c r="I107" s="19">
        <v>142558</v>
      </c>
      <c r="J107" s="19">
        <v>104067</v>
      </c>
      <c r="K107" s="19">
        <v>42965</v>
      </c>
      <c r="L107" s="19">
        <v>61102</v>
      </c>
      <c r="M107" s="19">
        <v>8593</v>
      </c>
      <c r="N107" s="19">
        <v>16327</v>
      </c>
      <c r="O107" s="19">
        <v>5156</v>
      </c>
      <c r="P107" s="19">
        <v>12890</v>
      </c>
      <c r="Q107" s="17" t="s">
        <v>90</v>
      </c>
      <c r="R107" s="17" t="s">
        <v>76</v>
      </c>
      <c r="S107" s="17">
        <v>6</v>
      </c>
      <c r="T107" s="17" t="s">
        <v>82</v>
      </c>
      <c r="U107" s="17" t="s">
        <v>83</v>
      </c>
      <c r="V107" s="17" t="s">
        <v>83</v>
      </c>
    </row>
    <row r="108" spans="1:22" x14ac:dyDescent="0.35">
      <c r="A108" s="14" t="s">
        <v>209</v>
      </c>
      <c r="B108" s="14" t="s">
        <v>192</v>
      </c>
      <c r="C108" s="14" t="s">
        <v>202</v>
      </c>
      <c r="D108" s="14" t="s">
        <v>73</v>
      </c>
      <c r="E108" s="14" t="s">
        <v>111</v>
      </c>
      <c r="F108" s="15">
        <v>0.68</v>
      </c>
      <c r="G108" s="15">
        <v>0.81</v>
      </c>
      <c r="H108" s="15">
        <v>0.55000000000000004</v>
      </c>
      <c r="I108" s="16">
        <v>561857</v>
      </c>
      <c r="J108" s="16">
        <v>309021</v>
      </c>
      <c r="K108" s="16">
        <v>120573</v>
      </c>
      <c r="L108" s="16">
        <v>188448</v>
      </c>
      <c r="M108" s="16">
        <v>24115</v>
      </c>
      <c r="N108" s="16">
        <v>45818</v>
      </c>
      <c r="O108" s="16">
        <v>14469</v>
      </c>
      <c r="P108" s="16">
        <v>36172</v>
      </c>
      <c r="Q108" s="14" t="s">
        <v>86</v>
      </c>
      <c r="R108" s="14" t="s">
        <v>76</v>
      </c>
      <c r="S108" s="14">
        <v>11</v>
      </c>
      <c r="T108" s="14" t="s">
        <v>82</v>
      </c>
      <c r="U108" s="14" t="s">
        <v>78</v>
      </c>
      <c r="V108" s="14" t="s">
        <v>83</v>
      </c>
    </row>
    <row r="109" spans="1:22" x14ac:dyDescent="0.35">
      <c r="A109" s="17" t="s">
        <v>210</v>
      </c>
      <c r="B109" s="17" t="s">
        <v>192</v>
      </c>
      <c r="C109" s="17" t="s">
        <v>202</v>
      </c>
      <c r="D109" s="17" t="s">
        <v>73</v>
      </c>
      <c r="E109" s="17" t="s">
        <v>98</v>
      </c>
      <c r="F109" s="18">
        <v>1.49</v>
      </c>
      <c r="G109" s="18">
        <v>1.73</v>
      </c>
      <c r="H109" s="18">
        <v>2.58</v>
      </c>
      <c r="I109" s="19">
        <v>369653</v>
      </c>
      <c r="J109" s="19">
        <v>953705</v>
      </c>
      <c r="K109" s="19">
        <v>267416</v>
      </c>
      <c r="L109" s="19">
        <v>686289</v>
      </c>
      <c r="M109" s="19">
        <v>53483</v>
      </c>
      <c r="N109" s="19">
        <v>101618</v>
      </c>
      <c r="O109" s="19">
        <v>32090</v>
      </c>
      <c r="P109" s="19">
        <v>80225</v>
      </c>
      <c r="Q109" s="17" t="s">
        <v>86</v>
      </c>
      <c r="R109" s="17" t="s">
        <v>76</v>
      </c>
      <c r="S109" s="17">
        <v>11</v>
      </c>
      <c r="T109" s="17" t="s">
        <v>82</v>
      </c>
      <c r="U109" s="17" t="s">
        <v>78</v>
      </c>
      <c r="V109" s="17" t="s">
        <v>78</v>
      </c>
    </row>
    <row r="110" spans="1:22" x14ac:dyDescent="0.35">
      <c r="A110" s="14" t="s">
        <v>211</v>
      </c>
      <c r="B110" s="14" t="s">
        <v>192</v>
      </c>
      <c r="C110" s="14" t="s">
        <v>202</v>
      </c>
      <c r="D110" s="14" t="s">
        <v>73</v>
      </c>
      <c r="E110" s="14" t="s">
        <v>74</v>
      </c>
      <c r="F110" s="15">
        <v>0.66</v>
      </c>
      <c r="G110" s="15">
        <v>7.78</v>
      </c>
      <c r="H110" s="15">
        <v>5.13</v>
      </c>
      <c r="I110" s="16">
        <v>195575</v>
      </c>
      <c r="J110" s="16">
        <v>1003300</v>
      </c>
      <c r="K110" s="16">
        <v>363635</v>
      </c>
      <c r="L110" s="16">
        <v>639665</v>
      </c>
      <c r="M110" s="16">
        <v>72727</v>
      </c>
      <c r="N110" s="16">
        <v>138181</v>
      </c>
      <c r="O110" s="16">
        <v>43636</v>
      </c>
      <c r="P110" s="16">
        <v>109090</v>
      </c>
      <c r="Q110" s="14" t="s">
        <v>86</v>
      </c>
      <c r="R110" s="14" t="s">
        <v>76</v>
      </c>
      <c r="S110" s="14">
        <v>7</v>
      </c>
      <c r="T110" s="14" t="s">
        <v>82</v>
      </c>
      <c r="U110" s="14" t="s">
        <v>78</v>
      </c>
      <c r="V110" s="14" t="s">
        <v>78</v>
      </c>
    </row>
    <row r="111" spans="1:22" x14ac:dyDescent="0.35">
      <c r="A111" s="17" t="s">
        <v>212</v>
      </c>
      <c r="B111" s="17" t="s">
        <v>192</v>
      </c>
      <c r="C111" s="17" t="s">
        <v>202</v>
      </c>
      <c r="D111" s="17" t="s">
        <v>73</v>
      </c>
      <c r="E111" s="17" t="s">
        <v>96</v>
      </c>
      <c r="F111" s="18">
        <v>1.94</v>
      </c>
      <c r="G111" s="18">
        <v>0.69</v>
      </c>
      <c r="H111" s="18">
        <v>1.34</v>
      </c>
      <c r="I111" s="19">
        <v>422528</v>
      </c>
      <c r="J111" s="19">
        <v>566188</v>
      </c>
      <c r="K111" s="19">
        <v>199215</v>
      </c>
      <c r="L111" s="19">
        <v>366973</v>
      </c>
      <c r="M111" s="19">
        <v>39843</v>
      </c>
      <c r="N111" s="19">
        <v>75702</v>
      </c>
      <c r="O111" s="19">
        <v>23906</v>
      </c>
      <c r="P111" s="19">
        <v>59764</v>
      </c>
      <c r="Q111" s="17" t="s">
        <v>86</v>
      </c>
      <c r="R111" s="17" t="s">
        <v>81</v>
      </c>
      <c r="S111" s="17">
        <v>11</v>
      </c>
      <c r="T111" s="17" t="s">
        <v>82</v>
      </c>
      <c r="U111" s="17" t="s">
        <v>78</v>
      </c>
      <c r="V111" s="17" t="s">
        <v>83</v>
      </c>
    </row>
    <row r="112" spans="1:22" x14ac:dyDescent="0.35">
      <c r="A112" s="14" t="s">
        <v>213</v>
      </c>
      <c r="B112" s="14" t="s">
        <v>192</v>
      </c>
      <c r="C112" s="14" t="s">
        <v>202</v>
      </c>
      <c r="D112" s="14" t="s">
        <v>88</v>
      </c>
      <c r="E112" s="14" t="s">
        <v>80</v>
      </c>
      <c r="F112" s="15">
        <v>2.56</v>
      </c>
      <c r="G112" s="15">
        <v>16.3</v>
      </c>
      <c r="H112" s="15">
        <v>41.73</v>
      </c>
      <c r="I112" s="16">
        <v>82484</v>
      </c>
      <c r="J112" s="16">
        <v>3442057</v>
      </c>
      <c r="K112" s="16">
        <v>1194592</v>
      </c>
      <c r="L112" s="16">
        <v>2247465</v>
      </c>
      <c r="M112" s="16">
        <v>238918</v>
      </c>
      <c r="N112" s="16">
        <v>453945</v>
      </c>
      <c r="O112" s="16">
        <v>143351</v>
      </c>
      <c r="P112" s="16">
        <v>358378</v>
      </c>
      <c r="Q112" s="14" t="s">
        <v>90</v>
      </c>
      <c r="R112" s="14" t="s">
        <v>81</v>
      </c>
      <c r="S112" s="14">
        <v>4</v>
      </c>
      <c r="T112" s="14" t="s">
        <v>77</v>
      </c>
      <c r="U112" s="14" t="s">
        <v>78</v>
      </c>
      <c r="V112" s="14" t="s">
        <v>83</v>
      </c>
    </row>
    <row r="113" spans="1:22" x14ac:dyDescent="0.35">
      <c r="A113" s="17" t="s">
        <v>214</v>
      </c>
      <c r="B113" s="17" t="s">
        <v>192</v>
      </c>
      <c r="C113" s="17" t="s">
        <v>215</v>
      </c>
      <c r="D113" s="17" t="s">
        <v>73</v>
      </c>
      <c r="E113" s="17" t="s">
        <v>74</v>
      </c>
      <c r="F113" s="18">
        <v>1.17</v>
      </c>
      <c r="G113" s="18">
        <v>6.71</v>
      </c>
      <c r="H113" s="18">
        <v>7.85</v>
      </c>
      <c r="I113" s="19">
        <v>159814</v>
      </c>
      <c r="J113" s="19">
        <v>1254540</v>
      </c>
      <c r="K113" s="19">
        <v>460924</v>
      </c>
      <c r="L113" s="19">
        <v>793616</v>
      </c>
      <c r="M113" s="19">
        <v>92185</v>
      </c>
      <c r="N113" s="19">
        <v>175151</v>
      </c>
      <c r="O113" s="19">
        <v>55311</v>
      </c>
      <c r="P113" s="19">
        <v>138277</v>
      </c>
      <c r="Q113" s="17" t="s">
        <v>75</v>
      </c>
      <c r="R113" s="17" t="s">
        <v>81</v>
      </c>
      <c r="S113" s="17">
        <v>9</v>
      </c>
      <c r="T113" s="17" t="s">
        <v>82</v>
      </c>
      <c r="U113" s="17" t="s">
        <v>83</v>
      </c>
      <c r="V113" s="17" t="s">
        <v>83</v>
      </c>
    </row>
    <row r="114" spans="1:22" x14ac:dyDescent="0.35">
      <c r="A114" s="14" t="s">
        <v>216</v>
      </c>
      <c r="B114" s="14" t="s">
        <v>192</v>
      </c>
      <c r="C114" s="14" t="s">
        <v>215</v>
      </c>
      <c r="D114" s="14" t="s">
        <v>88</v>
      </c>
      <c r="E114" s="14" t="s">
        <v>85</v>
      </c>
      <c r="F114" s="15">
        <v>2.77</v>
      </c>
      <c r="G114" s="15">
        <v>1.1399999999999999</v>
      </c>
      <c r="H114" s="15">
        <v>3.16</v>
      </c>
      <c r="I114" s="16">
        <v>141431</v>
      </c>
      <c r="J114" s="16">
        <v>446922</v>
      </c>
      <c r="K114" s="16">
        <v>132297</v>
      </c>
      <c r="L114" s="16">
        <v>314625</v>
      </c>
      <c r="M114" s="16">
        <v>26459</v>
      </c>
      <c r="N114" s="16">
        <v>50273</v>
      </c>
      <c r="O114" s="16">
        <v>15876</v>
      </c>
      <c r="P114" s="16">
        <v>39689</v>
      </c>
      <c r="Q114" s="14" t="s">
        <v>75</v>
      </c>
      <c r="R114" s="14" t="s">
        <v>76</v>
      </c>
      <c r="S114" s="14">
        <v>9</v>
      </c>
      <c r="T114" s="14" t="s">
        <v>77</v>
      </c>
      <c r="U114" s="14" t="s">
        <v>78</v>
      </c>
      <c r="V114" s="14" t="s">
        <v>78</v>
      </c>
    </row>
    <row r="115" spans="1:22" x14ac:dyDescent="0.35">
      <c r="A115" s="17" t="s">
        <v>217</v>
      </c>
      <c r="B115" s="17" t="s">
        <v>192</v>
      </c>
      <c r="C115" s="17" t="s">
        <v>215</v>
      </c>
      <c r="D115" s="17" t="s">
        <v>88</v>
      </c>
      <c r="E115" s="17" t="s">
        <v>96</v>
      </c>
      <c r="F115" s="18">
        <v>2.12</v>
      </c>
      <c r="G115" s="18">
        <v>0.56000000000000005</v>
      </c>
      <c r="H115" s="18">
        <v>1.19</v>
      </c>
      <c r="I115" s="19">
        <v>416865</v>
      </c>
      <c r="J115" s="19">
        <v>496069</v>
      </c>
      <c r="K115" s="19">
        <v>160606</v>
      </c>
      <c r="L115" s="19">
        <v>335463</v>
      </c>
      <c r="M115" s="19">
        <v>32121</v>
      </c>
      <c r="N115" s="19">
        <v>61030</v>
      </c>
      <c r="O115" s="19">
        <v>19273</v>
      </c>
      <c r="P115" s="19">
        <v>48182</v>
      </c>
      <c r="Q115" s="17" t="s">
        <v>90</v>
      </c>
      <c r="R115" s="17" t="s">
        <v>81</v>
      </c>
      <c r="S115" s="17">
        <v>8</v>
      </c>
      <c r="T115" s="17" t="s">
        <v>77</v>
      </c>
      <c r="U115" s="17" t="s">
        <v>78</v>
      </c>
      <c r="V115" s="17" t="s">
        <v>83</v>
      </c>
    </row>
    <row r="116" spans="1:22" x14ac:dyDescent="0.35">
      <c r="A116" s="14" t="s">
        <v>218</v>
      </c>
      <c r="B116" s="14" t="s">
        <v>192</v>
      </c>
      <c r="C116" s="14" t="s">
        <v>215</v>
      </c>
      <c r="D116" s="14" t="s">
        <v>73</v>
      </c>
      <c r="E116" s="14" t="s">
        <v>105</v>
      </c>
      <c r="F116" s="15">
        <v>0.55000000000000004</v>
      </c>
      <c r="G116" s="15">
        <v>0.98</v>
      </c>
      <c r="H116" s="15">
        <v>0.54</v>
      </c>
      <c r="I116" s="16">
        <v>411416</v>
      </c>
      <c r="J116" s="16">
        <v>222165</v>
      </c>
      <c r="K116" s="16">
        <v>85365</v>
      </c>
      <c r="L116" s="16">
        <v>136800</v>
      </c>
      <c r="M116" s="16">
        <v>17073</v>
      </c>
      <c r="N116" s="16">
        <v>32439</v>
      </c>
      <c r="O116" s="16">
        <v>10244</v>
      </c>
      <c r="P116" s="16">
        <v>25610</v>
      </c>
      <c r="Q116" s="14" t="s">
        <v>90</v>
      </c>
      <c r="R116" s="14" t="s">
        <v>76</v>
      </c>
      <c r="S116" s="14">
        <v>11</v>
      </c>
      <c r="T116" s="14" t="s">
        <v>82</v>
      </c>
      <c r="U116" s="14" t="s">
        <v>78</v>
      </c>
      <c r="V116" s="14" t="s">
        <v>83</v>
      </c>
    </row>
    <row r="117" spans="1:22" x14ac:dyDescent="0.35">
      <c r="A117" s="17" t="s">
        <v>219</v>
      </c>
      <c r="B117" s="17" t="s">
        <v>192</v>
      </c>
      <c r="C117" s="17" t="s">
        <v>215</v>
      </c>
      <c r="D117" s="17" t="s">
        <v>88</v>
      </c>
      <c r="E117" s="17" t="s">
        <v>93</v>
      </c>
      <c r="F117" s="18">
        <v>2.5099999999999998</v>
      </c>
      <c r="G117" s="18">
        <v>0.88</v>
      </c>
      <c r="H117" s="18">
        <v>2.21</v>
      </c>
      <c r="I117" s="19">
        <v>422591</v>
      </c>
      <c r="J117" s="19">
        <v>933926</v>
      </c>
      <c r="K117" s="19">
        <v>384552</v>
      </c>
      <c r="L117" s="19">
        <v>549374</v>
      </c>
      <c r="M117" s="19">
        <v>76910</v>
      </c>
      <c r="N117" s="19">
        <v>146130</v>
      </c>
      <c r="O117" s="19">
        <v>46146</v>
      </c>
      <c r="P117" s="19">
        <v>115366</v>
      </c>
      <c r="Q117" s="17" t="s">
        <v>90</v>
      </c>
      <c r="R117" s="17" t="s">
        <v>76</v>
      </c>
      <c r="S117" s="17">
        <v>7</v>
      </c>
      <c r="T117" s="17" t="s">
        <v>77</v>
      </c>
      <c r="U117" s="17" t="s">
        <v>83</v>
      </c>
      <c r="V117" s="17" t="s">
        <v>83</v>
      </c>
    </row>
    <row r="118" spans="1:22" x14ac:dyDescent="0.35">
      <c r="A118" s="14" t="s">
        <v>220</v>
      </c>
      <c r="B118" s="14" t="s">
        <v>192</v>
      </c>
      <c r="C118" s="14" t="s">
        <v>215</v>
      </c>
      <c r="D118" s="14" t="s">
        <v>73</v>
      </c>
      <c r="E118" s="14" t="s">
        <v>101</v>
      </c>
      <c r="F118" s="15">
        <v>3.68</v>
      </c>
      <c r="G118" s="15">
        <v>0.99</v>
      </c>
      <c r="H118" s="15">
        <v>3.64</v>
      </c>
      <c r="I118" s="16">
        <v>130878</v>
      </c>
      <c r="J118" s="16">
        <v>476396</v>
      </c>
      <c r="K118" s="16">
        <v>148347</v>
      </c>
      <c r="L118" s="16">
        <v>328049</v>
      </c>
      <c r="M118" s="16">
        <v>29669</v>
      </c>
      <c r="N118" s="16">
        <v>56372</v>
      </c>
      <c r="O118" s="16">
        <v>17802</v>
      </c>
      <c r="P118" s="16">
        <v>44504</v>
      </c>
      <c r="Q118" s="14" t="s">
        <v>86</v>
      </c>
      <c r="R118" s="14" t="s">
        <v>81</v>
      </c>
      <c r="S118" s="14">
        <v>11</v>
      </c>
      <c r="T118" s="14" t="s">
        <v>77</v>
      </c>
      <c r="U118" s="14" t="s">
        <v>78</v>
      </c>
      <c r="V118" s="14" t="s">
        <v>78</v>
      </c>
    </row>
    <row r="119" spans="1:22" x14ac:dyDescent="0.35">
      <c r="A119" s="17" t="s">
        <v>221</v>
      </c>
      <c r="B119" s="17" t="s">
        <v>192</v>
      </c>
      <c r="C119" s="17" t="s">
        <v>215</v>
      </c>
      <c r="D119" s="17" t="s">
        <v>73</v>
      </c>
      <c r="E119" s="17" t="s">
        <v>85</v>
      </c>
      <c r="F119" s="18">
        <v>4.13</v>
      </c>
      <c r="G119" s="18">
        <v>1.69</v>
      </c>
      <c r="H119" s="18">
        <v>6.98</v>
      </c>
      <c r="I119" s="19">
        <v>148507</v>
      </c>
      <c r="J119" s="19">
        <v>1036579</v>
      </c>
      <c r="K119" s="19">
        <v>409013</v>
      </c>
      <c r="L119" s="19">
        <v>627566</v>
      </c>
      <c r="M119" s="19">
        <v>81803</v>
      </c>
      <c r="N119" s="19">
        <v>155425</v>
      </c>
      <c r="O119" s="19">
        <v>49082</v>
      </c>
      <c r="P119" s="19">
        <v>122704</v>
      </c>
      <c r="Q119" s="17" t="s">
        <v>75</v>
      </c>
      <c r="R119" s="17" t="s">
        <v>76</v>
      </c>
      <c r="S119" s="17">
        <v>12</v>
      </c>
      <c r="T119" s="17" t="s">
        <v>77</v>
      </c>
      <c r="U119" s="17" t="s">
        <v>83</v>
      </c>
      <c r="V119" s="17" t="s">
        <v>83</v>
      </c>
    </row>
    <row r="120" spans="1:22" x14ac:dyDescent="0.35">
      <c r="A120" s="14" t="s">
        <v>222</v>
      </c>
      <c r="B120" s="14" t="s">
        <v>192</v>
      </c>
      <c r="C120" s="14" t="s">
        <v>215</v>
      </c>
      <c r="D120" s="14" t="s">
        <v>73</v>
      </c>
      <c r="E120" s="14" t="s">
        <v>85</v>
      </c>
      <c r="F120" s="15">
        <v>1.31</v>
      </c>
      <c r="G120" s="15">
        <v>1.57</v>
      </c>
      <c r="H120" s="15">
        <v>2.06</v>
      </c>
      <c r="I120" s="16">
        <v>122550</v>
      </c>
      <c r="J120" s="16">
        <v>252453</v>
      </c>
      <c r="K120" s="16">
        <v>82697</v>
      </c>
      <c r="L120" s="16">
        <v>169756</v>
      </c>
      <c r="M120" s="16">
        <v>16539</v>
      </c>
      <c r="N120" s="16">
        <v>31425</v>
      </c>
      <c r="O120" s="16">
        <v>9924</v>
      </c>
      <c r="P120" s="16">
        <v>24809</v>
      </c>
      <c r="Q120" s="14" t="s">
        <v>86</v>
      </c>
      <c r="R120" s="14" t="s">
        <v>76</v>
      </c>
      <c r="S120" s="14">
        <v>5</v>
      </c>
      <c r="T120" s="14" t="s">
        <v>82</v>
      </c>
      <c r="U120" s="14" t="s">
        <v>83</v>
      </c>
      <c r="V120" s="14" t="s">
        <v>83</v>
      </c>
    </row>
    <row r="121" spans="1:22" x14ac:dyDescent="0.35">
      <c r="A121" s="17" t="s">
        <v>223</v>
      </c>
      <c r="B121" s="17" t="s">
        <v>192</v>
      </c>
      <c r="C121" s="17" t="s">
        <v>215</v>
      </c>
      <c r="D121" s="17" t="s">
        <v>73</v>
      </c>
      <c r="E121" s="17" t="s">
        <v>96</v>
      </c>
      <c r="F121" s="18">
        <v>0.61</v>
      </c>
      <c r="G121" s="18">
        <v>0.76</v>
      </c>
      <c r="H121" s="18">
        <v>0.46</v>
      </c>
      <c r="I121" s="19">
        <v>335087</v>
      </c>
      <c r="J121" s="19">
        <v>154140</v>
      </c>
      <c r="K121" s="19">
        <v>59260</v>
      </c>
      <c r="L121" s="19">
        <v>94880</v>
      </c>
      <c r="M121" s="19">
        <v>11852</v>
      </c>
      <c r="N121" s="19">
        <v>22519</v>
      </c>
      <c r="O121" s="19">
        <v>7111</v>
      </c>
      <c r="P121" s="19">
        <v>17778</v>
      </c>
      <c r="Q121" s="17" t="s">
        <v>86</v>
      </c>
      <c r="R121" s="17" t="s">
        <v>81</v>
      </c>
      <c r="S121" s="17">
        <v>9</v>
      </c>
      <c r="T121" s="17" t="s">
        <v>82</v>
      </c>
      <c r="U121" s="17" t="s">
        <v>78</v>
      </c>
      <c r="V121" s="17" t="s">
        <v>83</v>
      </c>
    </row>
    <row r="122" spans="1:22" x14ac:dyDescent="0.35">
      <c r="A122" s="14" t="s">
        <v>224</v>
      </c>
      <c r="B122" s="14" t="s">
        <v>192</v>
      </c>
      <c r="C122" s="14" t="s">
        <v>215</v>
      </c>
      <c r="D122" s="14" t="s">
        <v>88</v>
      </c>
      <c r="E122" s="14" t="s">
        <v>116</v>
      </c>
      <c r="F122" s="15">
        <v>1.59</v>
      </c>
      <c r="G122" s="15">
        <v>1.37</v>
      </c>
      <c r="H122" s="15">
        <v>2.1800000000000002</v>
      </c>
      <c r="I122" s="16">
        <v>164201</v>
      </c>
      <c r="J122" s="16">
        <v>357958</v>
      </c>
      <c r="K122" s="16">
        <v>130107</v>
      </c>
      <c r="L122" s="16">
        <v>227851</v>
      </c>
      <c r="M122" s="16">
        <v>26021</v>
      </c>
      <c r="N122" s="16">
        <v>49441</v>
      </c>
      <c r="O122" s="16">
        <v>15613</v>
      </c>
      <c r="P122" s="16">
        <v>39032</v>
      </c>
      <c r="Q122" s="14" t="s">
        <v>86</v>
      </c>
      <c r="R122" s="14" t="s">
        <v>76</v>
      </c>
      <c r="S122" s="14">
        <v>5</v>
      </c>
      <c r="T122" s="14" t="s">
        <v>82</v>
      </c>
      <c r="U122" s="14" t="s">
        <v>83</v>
      </c>
      <c r="V122" s="14" t="s">
        <v>78</v>
      </c>
    </row>
    <row r="123" spans="1:22" x14ac:dyDescent="0.35">
      <c r="A123" s="17" t="s">
        <v>225</v>
      </c>
      <c r="B123" s="17" t="s">
        <v>192</v>
      </c>
      <c r="C123" s="17" t="s">
        <v>215</v>
      </c>
      <c r="D123" s="17" t="s">
        <v>88</v>
      </c>
      <c r="E123" s="17" t="s">
        <v>74</v>
      </c>
      <c r="F123" s="18">
        <v>1.5</v>
      </c>
      <c r="G123" s="18">
        <v>6.9</v>
      </c>
      <c r="H123" s="18">
        <v>10.35</v>
      </c>
      <c r="I123" s="19">
        <v>185782</v>
      </c>
      <c r="J123" s="19">
        <v>1922844</v>
      </c>
      <c r="K123" s="19">
        <v>649894</v>
      </c>
      <c r="L123" s="19">
        <v>1272950</v>
      </c>
      <c r="M123" s="19">
        <v>129979</v>
      </c>
      <c r="N123" s="19">
        <v>246960</v>
      </c>
      <c r="O123" s="19">
        <v>77987</v>
      </c>
      <c r="P123" s="19">
        <v>194968</v>
      </c>
      <c r="Q123" s="17" t="s">
        <v>86</v>
      </c>
      <c r="R123" s="17" t="s">
        <v>76</v>
      </c>
      <c r="S123" s="17">
        <v>8</v>
      </c>
      <c r="T123" s="17" t="s">
        <v>82</v>
      </c>
      <c r="U123" s="17" t="s">
        <v>78</v>
      </c>
      <c r="V123" s="17" t="s">
        <v>78</v>
      </c>
    </row>
    <row r="124" spans="1:22" x14ac:dyDescent="0.35">
      <c r="A124" s="14" t="s">
        <v>226</v>
      </c>
      <c r="B124" s="14" t="s">
        <v>192</v>
      </c>
      <c r="C124" s="14" t="s">
        <v>215</v>
      </c>
      <c r="D124" s="14" t="s">
        <v>88</v>
      </c>
      <c r="E124" s="14" t="s">
        <v>85</v>
      </c>
      <c r="F124" s="15">
        <v>2.87</v>
      </c>
      <c r="G124" s="15">
        <v>1.05</v>
      </c>
      <c r="H124" s="15">
        <v>3.01</v>
      </c>
      <c r="I124" s="16">
        <v>119100</v>
      </c>
      <c r="J124" s="16">
        <v>358491</v>
      </c>
      <c r="K124" s="16">
        <v>149786</v>
      </c>
      <c r="L124" s="16">
        <v>208705</v>
      </c>
      <c r="M124" s="16">
        <v>29957</v>
      </c>
      <c r="N124" s="16">
        <v>56919</v>
      </c>
      <c r="O124" s="16">
        <v>17974</v>
      </c>
      <c r="P124" s="16">
        <v>44936</v>
      </c>
      <c r="Q124" s="14" t="s">
        <v>86</v>
      </c>
      <c r="R124" s="14" t="s">
        <v>76</v>
      </c>
      <c r="S124" s="14">
        <v>6</v>
      </c>
      <c r="T124" s="14" t="s">
        <v>77</v>
      </c>
      <c r="U124" s="14" t="s">
        <v>78</v>
      </c>
      <c r="V124" s="14" t="s">
        <v>78</v>
      </c>
    </row>
    <row r="125" spans="1:22" x14ac:dyDescent="0.35">
      <c r="A125" s="17" t="s">
        <v>227</v>
      </c>
      <c r="B125" s="17" t="s">
        <v>192</v>
      </c>
      <c r="C125" s="17" t="s">
        <v>215</v>
      </c>
      <c r="D125" s="17" t="s">
        <v>88</v>
      </c>
      <c r="E125" s="17" t="s">
        <v>116</v>
      </c>
      <c r="F125" s="18">
        <v>1.51</v>
      </c>
      <c r="G125" s="18">
        <v>1.18</v>
      </c>
      <c r="H125" s="18">
        <v>1.78</v>
      </c>
      <c r="I125" s="19">
        <v>144886</v>
      </c>
      <c r="J125" s="19">
        <v>257897</v>
      </c>
      <c r="K125" s="19">
        <v>87760</v>
      </c>
      <c r="L125" s="19">
        <v>170137</v>
      </c>
      <c r="M125" s="19">
        <v>17552</v>
      </c>
      <c r="N125" s="19">
        <v>33349</v>
      </c>
      <c r="O125" s="19">
        <v>10531</v>
      </c>
      <c r="P125" s="19">
        <v>26328</v>
      </c>
      <c r="Q125" s="17" t="s">
        <v>86</v>
      </c>
      <c r="R125" s="17" t="s">
        <v>81</v>
      </c>
      <c r="S125" s="17">
        <v>11</v>
      </c>
      <c r="T125" s="17" t="s">
        <v>82</v>
      </c>
      <c r="U125" s="17" t="s">
        <v>83</v>
      </c>
      <c r="V125" s="17" t="s">
        <v>78</v>
      </c>
    </row>
    <row r="126" spans="1:22" x14ac:dyDescent="0.35">
      <c r="A126" s="14" t="s">
        <v>228</v>
      </c>
      <c r="B126" s="14" t="s">
        <v>192</v>
      </c>
      <c r="C126" s="14" t="s">
        <v>215</v>
      </c>
      <c r="D126" s="14" t="s">
        <v>88</v>
      </c>
      <c r="E126" s="14" t="s">
        <v>93</v>
      </c>
      <c r="F126" s="15">
        <v>0.72</v>
      </c>
      <c r="G126" s="15">
        <v>1.1399999999999999</v>
      </c>
      <c r="H126" s="15">
        <v>0.82</v>
      </c>
      <c r="I126" s="16">
        <v>327822</v>
      </c>
      <c r="J126" s="16">
        <v>268814</v>
      </c>
      <c r="K126" s="16">
        <v>75973</v>
      </c>
      <c r="L126" s="16">
        <v>192841</v>
      </c>
      <c r="M126" s="16">
        <v>15195</v>
      </c>
      <c r="N126" s="16">
        <v>28870</v>
      </c>
      <c r="O126" s="16">
        <v>9117</v>
      </c>
      <c r="P126" s="16">
        <v>22792</v>
      </c>
      <c r="Q126" s="14" t="s">
        <v>86</v>
      </c>
      <c r="R126" s="14" t="s">
        <v>81</v>
      </c>
      <c r="S126" s="14">
        <v>12</v>
      </c>
      <c r="T126" s="14" t="s">
        <v>82</v>
      </c>
      <c r="U126" s="14" t="s">
        <v>78</v>
      </c>
      <c r="V126" s="14" t="s">
        <v>83</v>
      </c>
    </row>
    <row r="127" spans="1:22" x14ac:dyDescent="0.35">
      <c r="A127" s="17" t="s">
        <v>229</v>
      </c>
      <c r="B127" s="17" t="s">
        <v>192</v>
      </c>
      <c r="C127" s="17" t="s">
        <v>215</v>
      </c>
      <c r="D127" s="17" t="s">
        <v>88</v>
      </c>
      <c r="E127" s="17" t="s">
        <v>96</v>
      </c>
      <c r="F127" s="18">
        <v>0.94</v>
      </c>
      <c r="G127" s="18">
        <v>0.56000000000000005</v>
      </c>
      <c r="H127" s="18">
        <v>0.53</v>
      </c>
      <c r="I127" s="19">
        <v>444545</v>
      </c>
      <c r="J127" s="19">
        <v>235609</v>
      </c>
      <c r="K127" s="19">
        <v>71640</v>
      </c>
      <c r="L127" s="19">
        <v>163969</v>
      </c>
      <c r="M127" s="19">
        <v>14328</v>
      </c>
      <c r="N127" s="19">
        <v>27223</v>
      </c>
      <c r="O127" s="19">
        <v>8597</v>
      </c>
      <c r="P127" s="19">
        <v>21492</v>
      </c>
      <c r="Q127" s="17" t="s">
        <v>75</v>
      </c>
      <c r="R127" s="17" t="s">
        <v>81</v>
      </c>
      <c r="S127" s="17">
        <v>8</v>
      </c>
      <c r="T127" s="17" t="s">
        <v>82</v>
      </c>
      <c r="U127" s="17" t="s">
        <v>78</v>
      </c>
      <c r="V127" s="17" t="s">
        <v>83</v>
      </c>
    </row>
    <row r="128" spans="1:22" x14ac:dyDescent="0.35">
      <c r="A128" s="14" t="s">
        <v>230</v>
      </c>
      <c r="B128" s="14" t="s">
        <v>192</v>
      </c>
      <c r="C128" s="14" t="s">
        <v>231</v>
      </c>
      <c r="D128" s="14" t="s">
        <v>88</v>
      </c>
      <c r="E128" s="14" t="s">
        <v>98</v>
      </c>
      <c r="F128" s="15">
        <v>2.27</v>
      </c>
      <c r="G128" s="15">
        <v>1.9</v>
      </c>
      <c r="H128" s="15">
        <v>4.3099999999999996</v>
      </c>
      <c r="I128" s="16">
        <v>319681</v>
      </c>
      <c r="J128" s="16">
        <v>1377825</v>
      </c>
      <c r="K128" s="16">
        <v>445642</v>
      </c>
      <c r="L128" s="16">
        <v>932183</v>
      </c>
      <c r="M128" s="16">
        <v>89128</v>
      </c>
      <c r="N128" s="16">
        <v>169344</v>
      </c>
      <c r="O128" s="16">
        <v>53477</v>
      </c>
      <c r="P128" s="16">
        <v>133693</v>
      </c>
      <c r="Q128" s="14" t="s">
        <v>90</v>
      </c>
      <c r="R128" s="14" t="s">
        <v>76</v>
      </c>
      <c r="S128" s="14">
        <v>8</v>
      </c>
      <c r="T128" s="14" t="s">
        <v>77</v>
      </c>
      <c r="U128" s="14" t="s">
        <v>78</v>
      </c>
      <c r="V128" s="14" t="s">
        <v>78</v>
      </c>
    </row>
    <row r="129" spans="1:22" x14ac:dyDescent="0.35">
      <c r="A129" s="17" t="s">
        <v>232</v>
      </c>
      <c r="B129" s="17" t="s">
        <v>192</v>
      </c>
      <c r="C129" s="17" t="s">
        <v>231</v>
      </c>
      <c r="D129" s="17" t="s">
        <v>73</v>
      </c>
      <c r="E129" s="17" t="s">
        <v>93</v>
      </c>
      <c r="F129" s="18">
        <v>2.09</v>
      </c>
      <c r="G129" s="18">
        <v>0.9</v>
      </c>
      <c r="H129" s="18">
        <v>1.88</v>
      </c>
      <c r="I129" s="19">
        <v>411490</v>
      </c>
      <c r="J129" s="19">
        <v>773601</v>
      </c>
      <c r="K129" s="19">
        <v>254634</v>
      </c>
      <c r="L129" s="19">
        <v>518967</v>
      </c>
      <c r="M129" s="19">
        <v>50927</v>
      </c>
      <c r="N129" s="19">
        <v>96761</v>
      </c>
      <c r="O129" s="19">
        <v>30556</v>
      </c>
      <c r="P129" s="19">
        <v>76390</v>
      </c>
      <c r="Q129" s="17" t="s">
        <v>75</v>
      </c>
      <c r="R129" s="17" t="s">
        <v>76</v>
      </c>
      <c r="S129" s="17">
        <v>6</v>
      </c>
      <c r="T129" s="17" t="s">
        <v>77</v>
      </c>
      <c r="U129" s="17" t="s">
        <v>78</v>
      </c>
      <c r="V129" s="17" t="s">
        <v>78</v>
      </c>
    </row>
    <row r="130" spans="1:22" x14ac:dyDescent="0.35">
      <c r="A130" s="14" t="s">
        <v>233</v>
      </c>
      <c r="B130" s="14" t="s">
        <v>192</v>
      </c>
      <c r="C130" s="14" t="s">
        <v>231</v>
      </c>
      <c r="D130" s="14" t="s">
        <v>73</v>
      </c>
      <c r="E130" s="14" t="s">
        <v>85</v>
      </c>
      <c r="F130" s="15">
        <v>1.28</v>
      </c>
      <c r="G130" s="15">
        <v>1.1100000000000001</v>
      </c>
      <c r="H130" s="15">
        <v>1.42</v>
      </c>
      <c r="I130" s="16">
        <v>140107</v>
      </c>
      <c r="J130" s="16">
        <v>198952</v>
      </c>
      <c r="K130" s="16">
        <v>57805</v>
      </c>
      <c r="L130" s="16">
        <v>141147</v>
      </c>
      <c r="M130" s="16">
        <v>11561</v>
      </c>
      <c r="N130" s="16">
        <v>21966</v>
      </c>
      <c r="O130" s="16">
        <v>6937</v>
      </c>
      <c r="P130" s="16">
        <v>17342</v>
      </c>
      <c r="Q130" s="14" t="s">
        <v>75</v>
      </c>
      <c r="R130" s="14" t="s">
        <v>81</v>
      </c>
      <c r="S130" s="14">
        <v>10</v>
      </c>
      <c r="T130" s="14" t="s">
        <v>82</v>
      </c>
      <c r="U130" s="14" t="s">
        <v>83</v>
      </c>
      <c r="V130" s="14" t="s">
        <v>83</v>
      </c>
    </row>
    <row r="131" spans="1:22" x14ac:dyDescent="0.35">
      <c r="A131" s="17" t="s">
        <v>234</v>
      </c>
      <c r="B131" s="17" t="s">
        <v>192</v>
      </c>
      <c r="C131" s="17" t="s">
        <v>231</v>
      </c>
      <c r="D131" s="17" t="s">
        <v>88</v>
      </c>
      <c r="E131" s="17" t="s">
        <v>105</v>
      </c>
      <c r="F131" s="18">
        <v>2.63</v>
      </c>
      <c r="G131" s="18">
        <v>1.19</v>
      </c>
      <c r="H131" s="18">
        <v>3.13</v>
      </c>
      <c r="I131" s="19">
        <v>376021</v>
      </c>
      <c r="J131" s="19">
        <v>1176946</v>
      </c>
      <c r="K131" s="19">
        <v>340797</v>
      </c>
      <c r="L131" s="19">
        <v>836149</v>
      </c>
      <c r="M131" s="19">
        <v>68159</v>
      </c>
      <c r="N131" s="19">
        <v>129503</v>
      </c>
      <c r="O131" s="19">
        <v>40896</v>
      </c>
      <c r="P131" s="19">
        <v>102239</v>
      </c>
      <c r="Q131" s="17" t="s">
        <v>90</v>
      </c>
      <c r="R131" s="17" t="s">
        <v>81</v>
      </c>
      <c r="S131" s="17">
        <v>7</v>
      </c>
      <c r="T131" s="17" t="s">
        <v>77</v>
      </c>
      <c r="U131" s="17" t="s">
        <v>83</v>
      </c>
      <c r="V131" s="17" t="s">
        <v>78</v>
      </c>
    </row>
    <row r="132" spans="1:22" x14ac:dyDescent="0.35">
      <c r="A132" s="14" t="s">
        <v>235</v>
      </c>
      <c r="B132" s="14" t="s">
        <v>192</v>
      </c>
      <c r="C132" s="14" t="s">
        <v>231</v>
      </c>
      <c r="D132" s="14" t="s">
        <v>73</v>
      </c>
      <c r="E132" s="14" t="s">
        <v>101</v>
      </c>
      <c r="F132" s="15">
        <v>2.21</v>
      </c>
      <c r="G132" s="15">
        <v>1.17</v>
      </c>
      <c r="H132" s="15">
        <v>2.59</v>
      </c>
      <c r="I132" s="16">
        <v>108383</v>
      </c>
      <c r="J132" s="16">
        <v>280712</v>
      </c>
      <c r="K132" s="16">
        <v>111285</v>
      </c>
      <c r="L132" s="16">
        <v>169427</v>
      </c>
      <c r="M132" s="16">
        <v>22257</v>
      </c>
      <c r="N132" s="16">
        <v>42288</v>
      </c>
      <c r="O132" s="16">
        <v>13354</v>
      </c>
      <c r="P132" s="16">
        <v>33386</v>
      </c>
      <c r="Q132" s="14" t="s">
        <v>86</v>
      </c>
      <c r="R132" s="14" t="s">
        <v>76</v>
      </c>
      <c r="S132" s="14">
        <v>12</v>
      </c>
      <c r="T132" s="14" t="s">
        <v>77</v>
      </c>
      <c r="U132" s="14" t="s">
        <v>83</v>
      </c>
      <c r="V132" s="14" t="s">
        <v>83</v>
      </c>
    </row>
    <row r="133" spans="1:22" x14ac:dyDescent="0.35">
      <c r="A133" s="17" t="s">
        <v>236</v>
      </c>
      <c r="B133" s="17" t="s">
        <v>192</v>
      </c>
      <c r="C133" s="17" t="s">
        <v>231</v>
      </c>
      <c r="D133" s="17" t="s">
        <v>88</v>
      </c>
      <c r="E133" s="17" t="s">
        <v>96</v>
      </c>
      <c r="F133" s="18">
        <v>1.58</v>
      </c>
      <c r="G133" s="18">
        <v>0.76</v>
      </c>
      <c r="H133" s="18">
        <v>1.2</v>
      </c>
      <c r="I133" s="19">
        <v>417954</v>
      </c>
      <c r="J133" s="19">
        <v>501545</v>
      </c>
      <c r="K133" s="19">
        <v>143313</v>
      </c>
      <c r="L133" s="19">
        <v>358232</v>
      </c>
      <c r="M133" s="19">
        <v>28663</v>
      </c>
      <c r="N133" s="19">
        <v>54459</v>
      </c>
      <c r="O133" s="19">
        <v>17198</v>
      </c>
      <c r="P133" s="19">
        <v>42994</v>
      </c>
      <c r="Q133" s="17" t="s">
        <v>75</v>
      </c>
      <c r="R133" s="17" t="s">
        <v>76</v>
      </c>
      <c r="S133" s="17">
        <v>8</v>
      </c>
      <c r="T133" s="17" t="s">
        <v>82</v>
      </c>
      <c r="U133" s="17" t="s">
        <v>83</v>
      </c>
      <c r="V133" s="17" t="s">
        <v>83</v>
      </c>
    </row>
    <row r="134" spans="1:22" x14ac:dyDescent="0.35">
      <c r="A134" s="14" t="s">
        <v>237</v>
      </c>
      <c r="B134" s="14" t="s">
        <v>192</v>
      </c>
      <c r="C134" s="14" t="s">
        <v>231</v>
      </c>
      <c r="D134" s="14" t="s">
        <v>73</v>
      </c>
      <c r="E134" s="14" t="s">
        <v>93</v>
      </c>
      <c r="F134" s="15">
        <v>3.37</v>
      </c>
      <c r="G134" s="15">
        <v>1.07</v>
      </c>
      <c r="H134" s="15">
        <v>3.61</v>
      </c>
      <c r="I134" s="16">
        <v>415450</v>
      </c>
      <c r="J134" s="16">
        <v>1499774</v>
      </c>
      <c r="K134" s="16">
        <v>595759</v>
      </c>
      <c r="L134" s="16">
        <v>904015</v>
      </c>
      <c r="M134" s="16">
        <v>119152</v>
      </c>
      <c r="N134" s="16">
        <v>226388</v>
      </c>
      <c r="O134" s="16">
        <v>71491</v>
      </c>
      <c r="P134" s="16">
        <v>178728</v>
      </c>
      <c r="Q134" s="14" t="s">
        <v>75</v>
      </c>
      <c r="R134" s="14" t="s">
        <v>76</v>
      </c>
      <c r="S134" s="14">
        <v>11</v>
      </c>
      <c r="T134" s="14" t="s">
        <v>77</v>
      </c>
      <c r="U134" s="14" t="s">
        <v>83</v>
      </c>
      <c r="V134" s="14" t="s">
        <v>78</v>
      </c>
    </row>
    <row r="135" spans="1:22" x14ac:dyDescent="0.35">
      <c r="A135" s="17" t="s">
        <v>238</v>
      </c>
      <c r="B135" s="17" t="s">
        <v>192</v>
      </c>
      <c r="C135" s="17" t="s">
        <v>231</v>
      </c>
      <c r="D135" s="17" t="s">
        <v>73</v>
      </c>
      <c r="E135" s="17" t="s">
        <v>80</v>
      </c>
      <c r="F135" s="18">
        <v>3.68</v>
      </c>
      <c r="G135" s="18">
        <v>19.420000000000002</v>
      </c>
      <c r="H135" s="18">
        <v>71.47</v>
      </c>
      <c r="I135" s="19">
        <v>95686</v>
      </c>
      <c r="J135" s="19">
        <v>6838678</v>
      </c>
      <c r="K135" s="19">
        <v>2498667</v>
      </c>
      <c r="L135" s="19">
        <v>4340011</v>
      </c>
      <c r="M135" s="19">
        <v>499733</v>
      </c>
      <c r="N135" s="19">
        <v>949493</v>
      </c>
      <c r="O135" s="19">
        <v>299840</v>
      </c>
      <c r="P135" s="19">
        <v>749600</v>
      </c>
      <c r="Q135" s="17" t="s">
        <v>90</v>
      </c>
      <c r="R135" s="17" t="s">
        <v>81</v>
      </c>
      <c r="S135" s="17">
        <v>7</v>
      </c>
      <c r="T135" s="17" t="s">
        <v>77</v>
      </c>
      <c r="U135" s="17" t="s">
        <v>78</v>
      </c>
      <c r="V135" s="17" t="s">
        <v>83</v>
      </c>
    </row>
    <row r="136" spans="1:22" x14ac:dyDescent="0.35">
      <c r="A136" s="14" t="s">
        <v>239</v>
      </c>
      <c r="B136" s="14" t="s">
        <v>192</v>
      </c>
      <c r="C136" s="14" t="s">
        <v>231</v>
      </c>
      <c r="D136" s="14" t="s">
        <v>73</v>
      </c>
      <c r="E136" s="14" t="s">
        <v>101</v>
      </c>
      <c r="F136" s="15">
        <v>4.84</v>
      </c>
      <c r="G136" s="15">
        <v>1.31</v>
      </c>
      <c r="H136" s="15">
        <v>6.34</v>
      </c>
      <c r="I136" s="16">
        <v>108722</v>
      </c>
      <c r="J136" s="16">
        <v>689297</v>
      </c>
      <c r="K136" s="16">
        <v>202123</v>
      </c>
      <c r="L136" s="16">
        <v>487174</v>
      </c>
      <c r="M136" s="16">
        <v>40425</v>
      </c>
      <c r="N136" s="16">
        <v>76807</v>
      </c>
      <c r="O136" s="16">
        <v>24255</v>
      </c>
      <c r="P136" s="16">
        <v>60637</v>
      </c>
      <c r="Q136" s="14" t="s">
        <v>75</v>
      </c>
      <c r="R136" s="14" t="s">
        <v>81</v>
      </c>
      <c r="S136" s="14">
        <v>7</v>
      </c>
      <c r="T136" s="14" t="s">
        <v>77</v>
      </c>
      <c r="U136" s="14" t="s">
        <v>78</v>
      </c>
      <c r="V136" s="14" t="s">
        <v>83</v>
      </c>
    </row>
    <row r="137" spans="1:22" x14ac:dyDescent="0.35">
      <c r="A137" s="17" t="s">
        <v>240</v>
      </c>
      <c r="B137" s="17" t="s">
        <v>192</v>
      </c>
      <c r="C137" s="17" t="s">
        <v>241</v>
      </c>
      <c r="D137" s="17" t="s">
        <v>73</v>
      </c>
      <c r="E137" s="17" t="s">
        <v>111</v>
      </c>
      <c r="F137" s="18">
        <v>1.67</v>
      </c>
      <c r="G137" s="18">
        <v>0.94</v>
      </c>
      <c r="H137" s="18">
        <v>1.57</v>
      </c>
      <c r="I137" s="19">
        <v>437290</v>
      </c>
      <c r="J137" s="19">
        <v>686545</v>
      </c>
      <c r="K137" s="19">
        <v>225856</v>
      </c>
      <c r="L137" s="19">
        <v>460689</v>
      </c>
      <c r="M137" s="19">
        <v>45171</v>
      </c>
      <c r="N137" s="19">
        <v>85825</v>
      </c>
      <c r="O137" s="19">
        <v>27103</v>
      </c>
      <c r="P137" s="19">
        <v>67757</v>
      </c>
      <c r="Q137" s="17" t="s">
        <v>75</v>
      </c>
      <c r="R137" s="17" t="s">
        <v>81</v>
      </c>
      <c r="S137" s="17">
        <v>5</v>
      </c>
      <c r="T137" s="17" t="s">
        <v>82</v>
      </c>
      <c r="U137" s="17" t="s">
        <v>83</v>
      </c>
      <c r="V137" s="17" t="s">
        <v>83</v>
      </c>
    </row>
    <row r="138" spans="1:22" x14ac:dyDescent="0.35">
      <c r="A138" s="14" t="s">
        <v>242</v>
      </c>
      <c r="B138" s="14" t="s">
        <v>192</v>
      </c>
      <c r="C138" s="14" t="s">
        <v>241</v>
      </c>
      <c r="D138" s="14" t="s">
        <v>88</v>
      </c>
      <c r="E138" s="14" t="s">
        <v>74</v>
      </c>
      <c r="F138" s="15">
        <v>1.81</v>
      </c>
      <c r="G138" s="15">
        <v>7.85</v>
      </c>
      <c r="H138" s="15">
        <v>14.21</v>
      </c>
      <c r="I138" s="16">
        <v>170738</v>
      </c>
      <c r="J138" s="16">
        <v>2426187</v>
      </c>
      <c r="K138" s="16">
        <v>722740</v>
      </c>
      <c r="L138" s="16">
        <v>1703447</v>
      </c>
      <c r="M138" s="16">
        <v>144548</v>
      </c>
      <c r="N138" s="16">
        <v>274641</v>
      </c>
      <c r="O138" s="16">
        <v>86729</v>
      </c>
      <c r="P138" s="16">
        <v>216822</v>
      </c>
      <c r="Q138" s="14" t="s">
        <v>75</v>
      </c>
      <c r="R138" s="14" t="s">
        <v>76</v>
      </c>
      <c r="S138" s="14">
        <v>9</v>
      </c>
      <c r="T138" s="14" t="s">
        <v>82</v>
      </c>
      <c r="U138" s="14" t="s">
        <v>83</v>
      </c>
      <c r="V138" s="14" t="s">
        <v>83</v>
      </c>
    </row>
    <row r="139" spans="1:22" x14ac:dyDescent="0.35">
      <c r="A139" s="17" t="s">
        <v>243</v>
      </c>
      <c r="B139" s="17" t="s">
        <v>192</v>
      </c>
      <c r="C139" s="17" t="s">
        <v>241</v>
      </c>
      <c r="D139" s="17" t="s">
        <v>88</v>
      </c>
      <c r="E139" s="17" t="s">
        <v>80</v>
      </c>
      <c r="F139" s="18">
        <v>1.89</v>
      </c>
      <c r="G139" s="18">
        <v>16.2</v>
      </c>
      <c r="H139" s="18">
        <v>30.62</v>
      </c>
      <c r="I139" s="19">
        <v>90489</v>
      </c>
      <c r="J139" s="19">
        <v>2770773</v>
      </c>
      <c r="K139" s="19">
        <v>1073015</v>
      </c>
      <c r="L139" s="19">
        <v>1697758</v>
      </c>
      <c r="M139" s="19">
        <v>214603</v>
      </c>
      <c r="N139" s="19">
        <v>407746</v>
      </c>
      <c r="O139" s="19">
        <v>128762</v>
      </c>
      <c r="P139" s="19">
        <v>321904</v>
      </c>
      <c r="Q139" s="17" t="s">
        <v>86</v>
      </c>
      <c r="R139" s="17" t="s">
        <v>76</v>
      </c>
      <c r="S139" s="17">
        <v>5</v>
      </c>
      <c r="T139" s="17" t="s">
        <v>82</v>
      </c>
      <c r="U139" s="17" t="s">
        <v>78</v>
      </c>
      <c r="V139" s="17" t="s">
        <v>78</v>
      </c>
    </row>
    <row r="140" spans="1:22" x14ac:dyDescent="0.35">
      <c r="A140" s="14" t="s">
        <v>244</v>
      </c>
      <c r="B140" s="14" t="s">
        <v>192</v>
      </c>
      <c r="C140" s="14" t="s">
        <v>241</v>
      </c>
      <c r="D140" s="14" t="s">
        <v>73</v>
      </c>
      <c r="E140" s="14" t="s">
        <v>85</v>
      </c>
      <c r="F140" s="15">
        <v>2.78</v>
      </c>
      <c r="G140" s="15">
        <v>1.43</v>
      </c>
      <c r="H140" s="15">
        <v>3.98</v>
      </c>
      <c r="I140" s="16">
        <v>139307</v>
      </c>
      <c r="J140" s="16">
        <v>554442</v>
      </c>
      <c r="K140" s="16">
        <v>196114</v>
      </c>
      <c r="L140" s="16">
        <v>358328</v>
      </c>
      <c r="M140" s="16">
        <v>39223</v>
      </c>
      <c r="N140" s="16">
        <v>74523</v>
      </c>
      <c r="O140" s="16">
        <v>23534</v>
      </c>
      <c r="P140" s="16">
        <v>58834</v>
      </c>
      <c r="Q140" s="14" t="s">
        <v>75</v>
      </c>
      <c r="R140" s="14" t="s">
        <v>81</v>
      </c>
      <c r="S140" s="14">
        <v>12</v>
      </c>
      <c r="T140" s="14" t="s">
        <v>77</v>
      </c>
      <c r="U140" s="14" t="s">
        <v>78</v>
      </c>
      <c r="V140" s="14" t="s">
        <v>83</v>
      </c>
    </row>
    <row r="141" spans="1:22" x14ac:dyDescent="0.35">
      <c r="A141" s="17" t="s">
        <v>245</v>
      </c>
      <c r="B141" s="17" t="s">
        <v>192</v>
      </c>
      <c r="C141" s="17" t="s">
        <v>241</v>
      </c>
      <c r="D141" s="17" t="s">
        <v>73</v>
      </c>
      <c r="E141" s="17" t="s">
        <v>96</v>
      </c>
      <c r="F141" s="18">
        <v>0.66</v>
      </c>
      <c r="G141" s="18">
        <v>0.84</v>
      </c>
      <c r="H141" s="18">
        <v>0.55000000000000004</v>
      </c>
      <c r="I141" s="19">
        <v>421718</v>
      </c>
      <c r="J141" s="19">
        <v>231945</v>
      </c>
      <c r="K141" s="19">
        <v>91216</v>
      </c>
      <c r="L141" s="19">
        <v>140729</v>
      </c>
      <c r="M141" s="19">
        <v>18243</v>
      </c>
      <c r="N141" s="19">
        <v>34662</v>
      </c>
      <c r="O141" s="19">
        <v>10946</v>
      </c>
      <c r="P141" s="19">
        <v>27365</v>
      </c>
      <c r="Q141" s="17" t="s">
        <v>86</v>
      </c>
      <c r="R141" s="17" t="s">
        <v>81</v>
      </c>
      <c r="S141" s="17">
        <v>3</v>
      </c>
      <c r="T141" s="17" t="s">
        <v>82</v>
      </c>
      <c r="U141" s="17" t="s">
        <v>78</v>
      </c>
      <c r="V141" s="17" t="s">
        <v>83</v>
      </c>
    </row>
    <row r="142" spans="1:22" x14ac:dyDescent="0.35">
      <c r="A142" s="14" t="s">
        <v>246</v>
      </c>
      <c r="B142" s="14" t="s">
        <v>192</v>
      </c>
      <c r="C142" s="14" t="s">
        <v>241</v>
      </c>
      <c r="D142" s="14" t="s">
        <v>88</v>
      </c>
      <c r="E142" s="14" t="s">
        <v>98</v>
      </c>
      <c r="F142" s="15">
        <v>2.33</v>
      </c>
      <c r="G142" s="15">
        <v>2.15</v>
      </c>
      <c r="H142" s="15">
        <v>5.01</v>
      </c>
      <c r="I142" s="16">
        <v>358096</v>
      </c>
      <c r="J142" s="16">
        <v>1794061</v>
      </c>
      <c r="K142" s="16">
        <v>561111</v>
      </c>
      <c r="L142" s="16">
        <v>1232950</v>
      </c>
      <c r="M142" s="16">
        <v>112222</v>
      </c>
      <c r="N142" s="16">
        <v>213222</v>
      </c>
      <c r="O142" s="16">
        <v>67333</v>
      </c>
      <c r="P142" s="16">
        <v>168333</v>
      </c>
      <c r="Q142" s="14" t="s">
        <v>86</v>
      </c>
      <c r="R142" s="14" t="s">
        <v>81</v>
      </c>
      <c r="S142" s="14">
        <v>10</v>
      </c>
      <c r="T142" s="14" t="s">
        <v>77</v>
      </c>
      <c r="U142" s="14" t="s">
        <v>78</v>
      </c>
      <c r="V142" s="14" t="s">
        <v>83</v>
      </c>
    </row>
    <row r="143" spans="1:22" x14ac:dyDescent="0.35">
      <c r="A143" s="17" t="s">
        <v>247</v>
      </c>
      <c r="B143" s="17" t="s">
        <v>192</v>
      </c>
      <c r="C143" s="17" t="s">
        <v>241</v>
      </c>
      <c r="D143" s="17" t="s">
        <v>88</v>
      </c>
      <c r="E143" s="17" t="s">
        <v>111</v>
      </c>
      <c r="F143" s="18">
        <v>2.12</v>
      </c>
      <c r="G143" s="18">
        <v>0.66</v>
      </c>
      <c r="H143" s="18">
        <v>1.4</v>
      </c>
      <c r="I143" s="19">
        <v>472635</v>
      </c>
      <c r="J143" s="19">
        <v>661689</v>
      </c>
      <c r="K143" s="19">
        <v>234135</v>
      </c>
      <c r="L143" s="19">
        <v>427554</v>
      </c>
      <c r="M143" s="19">
        <v>46827</v>
      </c>
      <c r="N143" s="19">
        <v>88971</v>
      </c>
      <c r="O143" s="19">
        <v>28096</v>
      </c>
      <c r="P143" s="19">
        <v>70240</v>
      </c>
      <c r="Q143" s="17" t="s">
        <v>86</v>
      </c>
      <c r="R143" s="17" t="s">
        <v>76</v>
      </c>
      <c r="S143" s="17">
        <v>12</v>
      </c>
      <c r="T143" s="17" t="s">
        <v>77</v>
      </c>
      <c r="U143" s="17" t="s">
        <v>78</v>
      </c>
      <c r="V143" s="17" t="s">
        <v>83</v>
      </c>
    </row>
    <row r="144" spans="1:22" x14ac:dyDescent="0.35">
      <c r="A144" s="14" t="s">
        <v>248</v>
      </c>
      <c r="B144" s="14" t="s">
        <v>192</v>
      </c>
      <c r="C144" s="14" t="s">
        <v>241</v>
      </c>
      <c r="D144" s="14" t="s">
        <v>88</v>
      </c>
      <c r="E144" s="14" t="s">
        <v>80</v>
      </c>
      <c r="F144" s="15">
        <v>4.43</v>
      </c>
      <c r="G144" s="15">
        <v>13.17</v>
      </c>
      <c r="H144" s="15">
        <v>58.34</v>
      </c>
      <c r="I144" s="16">
        <v>83674</v>
      </c>
      <c r="J144" s="16">
        <v>4881541</v>
      </c>
      <c r="K144" s="16">
        <v>1944928</v>
      </c>
      <c r="L144" s="16">
        <v>2936613</v>
      </c>
      <c r="M144" s="16">
        <v>388986</v>
      </c>
      <c r="N144" s="16">
        <v>739073</v>
      </c>
      <c r="O144" s="16">
        <v>233391</v>
      </c>
      <c r="P144" s="16">
        <v>583478</v>
      </c>
      <c r="Q144" s="14" t="s">
        <v>86</v>
      </c>
      <c r="R144" s="14" t="s">
        <v>81</v>
      </c>
      <c r="S144" s="14">
        <v>4</v>
      </c>
      <c r="T144" s="14" t="s">
        <v>77</v>
      </c>
      <c r="U144" s="14" t="s">
        <v>78</v>
      </c>
      <c r="V144" s="14" t="s">
        <v>83</v>
      </c>
    </row>
    <row r="145" spans="1:22" x14ac:dyDescent="0.35">
      <c r="A145" s="17" t="s">
        <v>249</v>
      </c>
      <c r="B145" s="17" t="s">
        <v>192</v>
      </c>
      <c r="C145" s="17" t="s">
        <v>241</v>
      </c>
      <c r="D145" s="17" t="s">
        <v>73</v>
      </c>
      <c r="E145" s="17" t="s">
        <v>105</v>
      </c>
      <c r="F145" s="18">
        <v>2.54</v>
      </c>
      <c r="G145" s="18">
        <v>0.98</v>
      </c>
      <c r="H145" s="18">
        <v>2.4900000000000002</v>
      </c>
      <c r="I145" s="19">
        <v>471724</v>
      </c>
      <c r="J145" s="19">
        <v>1174593</v>
      </c>
      <c r="K145" s="19">
        <v>463187</v>
      </c>
      <c r="L145" s="19">
        <v>711406</v>
      </c>
      <c r="M145" s="19">
        <v>92637</v>
      </c>
      <c r="N145" s="19">
        <v>176011</v>
      </c>
      <c r="O145" s="19">
        <v>55582</v>
      </c>
      <c r="P145" s="19">
        <v>138956</v>
      </c>
      <c r="Q145" s="17" t="s">
        <v>90</v>
      </c>
      <c r="R145" s="17" t="s">
        <v>76</v>
      </c>
      <c r="S145" s="17">
        <v>9</v>
      </c>
      <c r="T145" s="17" t="s">
        <v>77</v>
      </c>
      <c r="U145" s="17" t="s">
        <v>78</v>
      </c>
      <c r="V145" s="17" t="s">
        <v>83</v>
      </c>
    </row>
    <row r="146" spans="1:22" x14ac:dyDescent="0.35">
      <c r="A146" s="14" t="s">
        <v>250</v>
      </c>
      <c r="B146" s="14" t="s">
        <v>192</v>
      </c>
      <c r="C146" s="14" t="s">
        <v>241</v>
      </c>
      <c r="D146" s="14" t="s">
        <v>88</v>
      </c>
      <c r="E146" s="14" t="s">
        <v>93</v>
      </c>
      <c r="F146" s="15">
        <v>1.21</v>
      </c>
      <c r="G146" s="15">
        <v>1.21</v>
      </c>
      <c r="H146" s="15">
        <v>1.46</v>
      </c>
      <c r="I146" s="16">
        <v>365740</v>
      </c>
      <c r="J146" s="16">
        <v>533980</v>
      </c>
      <c r="K146" s="16">
        <v>151622</v>
      </c>
      <c r="L146" s="16">
        <v>382358</v>
      </c>
      <c r="M146" s="16">
        <v>30324</v>
      </c>
      <c r="N146" s="16">
        <v>57616</v>
      </c>
      <c r="O146" s="16">
        <v>18195</v>
      </c>
      <c r="P146" s="16">
        <v>45487</v>
      </c>
      <c r="Q146" s="14" t="s">
        <v>86</v>
      </c>
      <c r="R146" s="14" t="s">
        <v>81</v>
      </c>
      <c r="S146" s="14">
        <v>5</v>
      </c>
      <c r="T146" s="14" t="s">
        <v>82</v>
      </c>
      <c r="U146" s="14" t="s">
        <v>78</v>
      </c>
      <c r="V146" s="14" t="s">
        <v>78</v>
      </c>
    </row>
    <row r="147" spans="1:22" x14ac:dyDescent="0.35">
      <c r="A147" s="17" t="s">
        <v>251</v>
      </c>
      <c r="B147" s="17" t="s">
        <v>192</v>
      </c>
      <c r="C147" s="17" t="s">
        <v>241</v>
      </c>
      <c r="D147" s="17" t="s">
        <v>88</v>
      </c>
      <c r="E147" s="17" t="s">
        <v>85</v>
      </c>
      <c r="F147" s="18">
        <v>3.63</v>
      </c>
      <c r="G147" s="18">
        <v>0.93</v>
      </c>
      <c r="H147" s="18">
        <v>3.38</v>
      </c>
      <c r="I147" s="19">
        <v>138016</v>
      </c>
      <c r="J147" s="19">
        <v>466494</v>
      </c>
      <c r="K147" s="19">
        <v>159916</v>
      </c>
      <c r="L147" s="19">
        <v>306578</v>
      </c>
      <c r="M147" s="19">
        <v>31983</v>
      </c>
      <c r="N147" s="19">
        <v>60768</v>
      </c>
      <c r="O147" s="19">
        <v>19190</v>
      </c>
      <c r="P147" s="19">
        <v>47975</v>
      </c>
      <c r="Q147" s="17" t="s">
        <v>86</v>
      </c>
      <c r="R147" s="17" t="s">
        <v>76</v>
      </c>
      <c r="S147" s="17">
        <v>3</v>
      </c>
      <c r="T147" s="17" t="s">
        <v>77</v>
      </c>
      <c r="U147" s="17" t="s">
        <v>78</v>
      </c>
      <c r="V147" s="17" t="s">
        <v>78</v>
      </c>
    </row>
    <row r="148" spans="1:22" x14ac:dyDescent="0.35">
      <c r="A148" s="14" t="s">
        <v>252</v>
      </c>
      <c r="B148" s="14" t="s">
        <v>192</v>
      </c>
      <c r="C148" s="14" t="s">
        <v>241</v>
      </c>
      <c r="D148" s="14" t="s">
        <v>88</v>
      </c>
      <c r="E148" s="14" t="s">
        <v>116</v>
      </c>
      <c r="F148" s="15">
        <v>0.89</v>
      </c>
      <c r="G148" s="15">
        <v>1.34</v>
      </c>
      <c r="H148" s="15">
        <v>1.19</v>
      </c>
      <c r="I148" s="16">
        <v>136350</v>
      </c>
      <c r="J148" s="16">
        <v>162256</v>
      </c>
      <c r="K148" s="16">
        <v>46516</v>
      </c>
      <c r="L148" s="16">
        <v>115740</v>
      </c>
      <c r="M148" s="16">
        <v>9303</v>
      </c>
      <c r="N148" s="16">
        <v>17676</v>
      </c>
      <c r="O148" s="16">
        <v>5582</v>
      </c>
      <c r="P148" s="16">
        <v>13955</v>
      </c>
      <c r="Q148" s="14" t="s">
        <v>90</v>
      </c>
      <c r="R148" s="14" t="s">
        <v>81</v>
      </c>
      <c r="S148" s="14">
        <v>4</v>
      </c>
      <c r="T148" s="14" t="s">
        <v>82</v>
      </c>
      <c r="U148" s="14" t="s">
        <v>78</v>
      </c>
      <c r="V148" s="14" t="s">
        <v>83</v>
      </c>
    </row>
    <row r="149" spans="1:22" x14ac:dyDescent="0.35">
      <c r="A149" s="17" t="s">
        <v>253</v>
      </c>
      <c r="B149" s="17" t="s">
        <v>192</v>
      </c>
      <c r="C149" s="17" t="s">
        <v>241</v>
      </c>
      <c r="D149" s="17" t="s">
        <v>73</v>
      </c>
      <c r="E149" s="17" t="s">
        <v>111</v>
      </c>
      <c r="F149" s="18">
        <v>2.71</v>
      </c>
      <c r="G149" s="18">
        <v>0.94</v>
      </c>
      <c r="H149" s="18">
        <v>2.5499999999999998</v>
      </c>
      <c r="I149" s="19">
        <v>522126</v>
      </c>
      <c r="J149" s="19">
        <v>1331421</v>
      </c>
      <c r="K149" s="19">
        <v>427091</v>
      </c>
      <c r="L149" s="19">
        <v>904330</v>
      </c>
      <c r="M149" s="19">
        <v>85418</v>
      </c>
      <c r="N149" s="19">
        <v>162295</v>
      </c>
      <c r="O149" s="19">
        <v>51251</v>
      </c>
      <c r="P149" s="19">
        <v>128127</v>
      </c>
      <c r="Q149" s="17" t="s">
        <v>86</v>
      </c>
      <c r="R149" s="17" t="s">
        <v>81</v>
      </c>
      <c r="S149" s="17">
        <v>6</v>
      </c>
      <c r="T149" s="17" t="s">
        <v>77</v>
      </c>
      <c r="U149" s="17" t="s">
        <v>83</v>
      </c>
      <c r="V149" s="17" t="s">
        <v>83</v>
      </c>
    </row>
    <row r="150" spans="1:22" x14ac:dyDescent="0.35">
      <c r="A150" s="14" t="s">
        <v>254</v>
      </c>
      <c r="B150" s="14" t="s">
        <v>192</v>
      </c>
      <c r="C150" s="14" t="s">
        <v>241</v>
      </c>
      <c r="D150" s="14" t="s">
        <v>73</v>
      </c>
      <c r="E150" s="14" t="s">
        <v>116</v>
      </c>
      <c r="F150" s="15">
        <v>2.33</v>
      </c>
      <c r="G150" s="15">
        <v>1.65</v>
      </c>
      <c r="H150" s="15">
        <v>3.84</v>
      </c>
      <c r="I150" s="16">
        <v>164723</v>
      </c>
      <c r="J150" s="16">
        <v>632536</v>
      </c>
      <c r="K150" s="16">
        <v>225291</v>
      </c>
      <c r="L150" s="16">
        <v>407245</v>
      </c>
      <c r="M150" s="16">
        <v>45058</v>
      </c>
      <c r="N150" s="16">
        <v>85611</v>
      </c>
      <c r="O150" s="16">
        <v>27035</v>
      </c>
      <c r="P150" s="16">
        <v>67587</v>
      </c>
      <c r="Q150" s="14" t="s">
        <v>75</v>
      </c>
      <c r="R150" s="14" t="s">
        <v>76</v>
      </c>
      <c r="S150" s="14">
        <v>9</v>
      </c>
      <c r="T150" s="14" t="s">
        <v>77</v>
      </c>
      <c r="U150" s="14" t="s">
        <v>78</v>
      </c>
      <c r="V150" s="14" t="s">
        <v>78</v>
      </c>
    </row>
    <row r="151" spans="1:22" x14ac:dyDescent="0.35">
      <c r="A151" s="17" t="s">
        <v>255</v>
      </c>
      <c r="B151" s="17" t="s">
        <v>192</v>
      </c>
      <c r="C151" s="17" t="s">
        <v>241</v>
      </c>
      <c r="D151" s="17" t="s">
        <v>88</v>
      </c>
      <c r="E151" s="17" t="s">
        <v>96</v>
      </c>
      <c r="F151" s="18">
        <v>0.86</v>
      </c>
      <c r="G151" s="18">
        <v>0.42</v>
      </c>
      <c r="H151" s="18">
        <v>0.36</v>
      </c>
      <c r="I151" s="19">
        <v>423757</v>
      </c>
      <c r="J151" s="19">
        <v>152553</v>
      </c>
      <c r="K151" s="19">
        <v>50079</v>
      </c>
      <c r="L151" s="19">
        <v>102474</v>
      </c>
      <c r="M151" s="19">
        <v>10016</v>
      </c>
      <c r="N151" s="19">
        <v>19030</v>
      </c>
      <c r="O151" s="19">
        <v>6009</v>
      </c>
      <c r="P151" s="19">
        <v>15024</v>
      </c>
      <c r="Q151" s="17" t="s">
        <v>75</v>
      </c>
      <c r="R151" s="17" t="s">
        <v>76</v>
      </c>
      <c r="S151" s="17">
        <v>12</v>
      </c>
      <c r="T151" s="17" t="s">
        <v>82</v>
      </c>
      <c r="U151" s="17" t="s">
        <v>83</v>
      </c>
      <c r="V151" s="17" t="s">
        <v>83</v>
      </c>
    </row>
    <row r="152" spans="1:22" x14ac:dyDescent="0.35">
      <c r="A152" s="14" t="s">
        <v>256</v>
      </c>
      <c r="B152" s="14" t="s">
        <v>192</v>
      </c>
      <c r="C152" s="14" t="s">
        <v>241</v>
      </c>
      <c r="D152" s="14" t="s">
        <v>73</v>
      </c>
      <c r="E152" s="14" t="s">
        <v>116</v>
      </c>
      <c r="F152" s="15">
        <v>1.73</v>
      </c>
      <c r="G152" s="15">
        <v>1.63</v>
      </c>
      <c r="H152" s="15">
        <v>2.82</v>
      </c>
      <c r="I152" s="16">
        <v>151212</v>
      </c>
      <c r="J152" s="16">
        <v>426418</v>
      </c>
      <c r="K152" s="16">
        <v>168970</v>
      </c>
      <c r="L152" s="16">
        <v>257448</v>
      </c>
      <c r="M152" s="16">
        <v>33794</v>
      </c>
      <c r="N152" s="16">
        <v>64209</v>
      </c>
      <c r="O152" s="16">
        <v>20276</v>
      </c>
      <c r="P152" s="16">
        <v>50691</v>
      </c>
      <c r="Q152" s="14" t="s">
        <v>75</v>
      </c>
      <c r="R152" s="14" t="s">
        <v>81</v>
      </c>
      <c r="S152" s="14">
        <v>10</v>
      </c>
      <c r="T152" s="14" t="s">
        <v>82</v>
      </c>
      <c r="U152" s="14" t="s">
        <v>83</v>
      </c>
      <c r="V152" s="14" t="s">
        <v>78</v>
      </c>
    </row>
    <row r="153" spans="1:22" x14ac:dyDescent="0.35">
      <c r="A153" s="17" t="s">
        <v>257</v>
      </c>
      <c r="B153" s="17" t="s">
        <v>192</v>
      </c>
      <c r="C153" s="17" t="s">
        <v>241</v>
      </c>
      <c r="D153" s="17" t="s">
        <v>73</v>
      </c>
      <c r="E153" s="17" t="s">
        <v>116</v>
      </c>
      <c r="F153" s="18">
        <v>3.01</v>
      </c>
      <c r="G153" s="18">
        <v>2.2799999999999998</v>
      </c>
      <c r="H153" s="18">
        <v>6.86</v>
      </c>
      <c r="I153" s="19">
        <v>124859</v>
      </c>
      <c r="J153" s="19">
        <v>856533</v>
      </c>
      <c r="K153" s="19">
        <v>264003</v>
      </c>
      <c r="L153" s="19">
        <v>592530</v>
      </c>
      <c r="M153" s="19">
        <v>52801</v>
      </c>
      <c r="N153" s="19">
        <v>100321</v>
      </c>
      <c r="O153" s="19">
        <v>31680</v>
      </c>
      <c r="P153" s="19">
        <v>79201</v>
      </c>
      <c r="Q153" s="17" t="s">
        <v>86</v>
      </c>
      <c r="R153" s="17" t="s">
        <v>76</v>
      </c>
      <c r="S153" s="17">
        <v>8</v>
      </c>
      <c r="T153" s="17" t="s">
        <v>77</v>
      </c>
      <c r="U153" s="17" t="s">
        <v>78</v>
      </c>
      <c r="V153" s="17" t="s">
        <v>83</v>
      </c>
    </row>
    <row r="154" spans="1:22" x14ac:dyDescent="0.35">
      <c r="A154" s="14" t="s">
        <v>258</v>
      </c>
      <c r="B154" s="14" t="s">
        <v>192</v>
      </c>
      <c r="C154" s="14" t="s">
        <v>241</v>
      </c>
      <c r="D154" s="14" t="s">
        <v>88</v>
      </c>
      <c r="E154" s="14" t="s">
        <v>96</v>
      </c>
      <c r="F154" s="15">
        <v>0.86</v>
      </c>
      <c r="G154" s="15">
        <v>0.69</v>
      </c>
      <c r="H154" s="15">
        <v>0.59</v>
      </c>
      <c r="I154" s="16">
        <v>353859</v>
      </c>
      <c r="J154" s="16">
        <v>208777</v>
      </c>
      <c r="K154" s="16">
        <v>68891</v>
      </c>
      <c r="L154" s="16">
        <v>139886</v>
      </c>
      <c r="M154" s="16">
        <v>13778</v>
      </c>
      <c r="N154" s="16">
        <v>26179</v>
      </c>
      <c r="O154" s="16">
        <v>8267</v>
      </c>
      <c r="P154" s="16">
        <v>20667</v>
      </c>
      <c r="Q154" s="14" t="s">
        <v>86</v>
      </c>
      <c r="R154" s="14" t="s">
        <v>81</v>
      </c>
      <c r="S154" s="14">
        <v>7</v>
      </c>
      <c r="T154" s="14" t="s">
        <v>82</v>
      </c>
      <c r="U154" s="14" t="s">
        <v>78</v>
      </c>
      <c r="V154" s="14" t="s">
        <v>83</v>
      </c>
    </row>
    <row r="155" spans="1:22" x14ac:dyDescent="0.35">
      <c r="A155" s="17" t="s">
        <v>259</v>
      </c>
      <c r="B155" s="17" t="s">
        <v>192</v>
      </c>
      <c r="C155" s="17" t="s">
        <v>260</v>
      </c>
      <c r="D155" s="17" t="s">
        <v>88</v>
      </c>
      <c r="E155" s="17" t="s">
        <v>96</v>
      </c>
      <c r="F155" s="18">
        <v>2.27</v>
      </c>
      <c r="G155" s="18">
        <v>0.55000000000000004</v>
      </c>
      <c r="H155" s="18">
        <v>1.25</v>
      </c>
      <c r="I155" s="19">
        <v>445426</v>
      </c>
      <c r="J155" s="19">
        <v>556782</v>
      </c>
      <c r="K155" s="19">
        <v>194578</v>
      </c>
      <c r="L155" s="19">
        <v>362204</v>
      </c>
      <c r="M155" s="19">
        <v>38916</v>
      </c>
      <c r="N155" s="19">
        <v>73940</v>
      </c>
      <c r="O155" s="19">
        <v>23349</v>
      </c>
      <c r="P155" s="19">
        <v>58373</v>
      </c>
      <c r="Q155" s="17" t="s">
        <v>90</v>
      </c>
      <c r="R155" s="17" t="s">
        <v>81</v>
      </c>
      <c r="S155" s="17">
        <v>11</v>
      </c>
      <c r="T155" s="17" t="s">
        <v>77</v>
      </c>
      <c r="U155" s="17" t="s">
        <v>78</v>
      </c>
      <c r="V155" s="17" t="s">
        <v>78</v>
      </c>
    </row>
    <row r="156" spans="1:22" x14ac:dyDescent="0.35">
      <c r="A156" s="14" t="s">
        <v>261</v>
      </c>
      <c r="B156" s="14" t="s">
        <v>192</v>
      </c>
      <c r="C156" s="14" t="s">
        <v>260</v>
      </c>
      <c r="D156" s="14" t="s">
        <v>73</v>
      </c>
      <c r="E156" s="14" t="s">
        <v>96</v>
      </c>
      <c r="F156" s="15">
        <v>1.25</v>
      </c>
      <c r="G156" s="15">
        <v>0.91</v>
      </c>
      <c r="H156" s="15">
        <v>1.1399999999999999</v>
      </c>
      <c r="I156" s="16">
        <v>352613</v>
      </c>
      <c r="J156" s="16">
        <v>401979</v>
      </c>
      <c r="K156" s="16">
        <v>129086</v>
      </c>
      <c r="L156" s="16">
        <v>272893</v>
      </c>
      <c r="M156" s="16">
        <v>25817</v>
      </c>
      <c r="N156" s="16">
        <v>49053</v>
      </c>
      <c r="O156" s="16">
        <v>15490</v>
      </c>
      <c r="P156" s="16">
        <v>38726</v>
      </c>
      <c r="Q156" s="14" t="s">
        <v>86</v>
      </c>
      <c r="R156" s="14" t="s">
        <v>76</v>
      </c>
      <c r="S156" s="14">
        <v>8</v>
      </c>
      <c r="T156" s="14" t="s">
        <v>82</v>
      </c>
      <c r="U156" s="14" t="s">
        <v>83</v>
      </c>
      <c r="V156" s="14" t="s">
        <v>83</v>
      </c>
    </row>
    <row r="157" spans="1:22" x14ac:dyDescent="0.35">
      <c r="A157" s="17" t="s">
        <v>262</v>
      </c>
      <c r="B157" s="17" t="s">
        <v>192</v>
      </c>
      <c r="C157" s="17" t="s">
        <v>260</v>
      </c>
      <c r="D157" s="17" t="s">
        <v>88</v>
      </c>
      <c r="E157" s="17" t="s">
        <v>85</v>
      </c>
      <c r="F157" s="18">
        <v>3.21</v>
      </c>
      <c r="G157" s="18">
        <v>1.1399999999999999</v>
      </c>
      <c r="H157" s="18">
        <v>3.66</v>
      </c>
      <c r="I157" s="19">
        <v>137401</v>
      </c>
      <c r="J157" s="19">
        <v>502888</v>
      </c>
      <c r="K157" s="19">
        <v>165559</v>
      </c>
      <c r="L157" s="19">
        <v>337329</v>
      </c>
      <c r="M157" s="19">
        <v>33112</v>
      </c>
      <c r="N157" s="19">
        <v>62912</v>
      </c>
      <c r="O157" s="19">
        <v>19867</v>
      </c>
      <c r="P157" s="19">
        <v>49668</v>
      </c>
      <c r="Q157" s="17" t="s">
        <v>86</v>
      </c>
      <c r="R157" s="17" t="s">
        <v>81</v>
      </c>
      <c r="S157" s="17">
        <v>12</v>
      </c>
      <c r="T157" s="17" t="s">
        <v>77</v>
      </c>
      <c r="U157" s="17" t="s">
        <v>78</v>
      </c>
      <c r="V157" s="17" t="s">
        <v>83</v>
      </c>
    </row>
    <row r="158" spans="1:22" x14ac:dyDescent="0.35">
      <c r="A158" s="14" t="s">
        <v>263</v>
      </c>
      <c r="B158" s="14" t="s">
        <v>192</v>
      </c>
      <c r="C158" s="14" t="s">
        <v>260</v>
      </c>
      <c r="D158" s="14" t="s">
        <v>73</v>
      </c>
      <c r="E158" s="14" t="s">
        <v>80</v>
      </c>
      <c r="F158" s="15">
        <v>3.52</v>
      </c>
      <c r="G158" s="15">
        <v>14.16</v>
      </c>
      <c r="H158" s="15">
        <v>49.84</v>
      </c>
      <c r="I158" s="16">
        <v>95373</v>
      </c>
      <c r="J158" s="16">
        <v>4753390</v>
      </c>
      <c r="K158" s="16">
        <v>1829987</v>
      </c>
      <c r="L158" s="16">
        <v>2923403</v>
      </c>
      <c r="M158" s="16">
        <v>365997</v>
      </c>
      <c r="N158" s="16">
        <v>695395</v>
      </c>
      <c r="O158" s="16">
        <v>219598</v>
      </c>
      <c r="P158" s="16">
        <v>548996</v>
      </c>
      <c r="Q158" s="14" t="s">
        <v>86</v>
      </c>
      <c r="R158" s="14" t="s">
        <v>76</v>
      </c>
      <c r="S158" s="14">
        <v>5</v>
      </c>
      <c r="T158" s="14" t="s">
        <v>77</v>
      </c>
      <c r="U158" s="14" t="s">
        <v>83</v>
      </c>
      <c r="V158" s="14" t="s">
        <v>83</v>
      </c>
    </row>
    <row r="159" spans="1:22" x14ac:dyDescent="0.35">
      <c r="A159" s="17" t="s">
        <v>264</v>
      </c>
      <c r="B159" s="17" t="s">
        <v>192</v>
      </c>
      <c r="C159" s="17" t="s">
        <v>260</v>
      </c>
      <c r="D159" s="17" t="s">
        <v>73</v>
      </c>
      <c r="E159" s="17" t="s">
        <v>105</v>
      </c>
      <c r="F159" s="18">
        <v>0.64</v>
      </c>
      <c r="G159" s="18">
        <v>1.0900000000000001</v>
      </c>
      <c r="H159" s="18">
        <v>0.7</v>
      </c>
      <c r="I159" s="19">
        <v>438291</v>
      </c>
      <c r="J159" s="19">
        <v>306804</v>
      </c>
      <c r="K159" s="19">
        <v>101460</v>
      </c>
      <c r="L159" s="19">
        <v>205344</v>
      </c>
      <c r="M159" s="19">
        <v>20292</v>
      </c>
      <c r="N159" s="19">
        <v>38555</v>
      </c>
      <c r="O159" s="19">
        <v>12175</v>
      </c>
      <c r="P159" s="19">
        <v>30438</v>
      </c>
      <c r="Q159" s="17" t="s">
        <v>75</v>
      </c>
      <c r="R159" s="17" t="s">
        <v>76</v>
      </c>
      <c r="S159" s="17">
        <v>12</v>
      </c>
      <c r="T159" s="17" t="s">
        <v>82</v>
      </c>
      <c r="U159" s="17" t="s">
        <v>78</v>
      </c>
      <c r="V159" s="17" t="s">
        <v>83</v>
      </c>
    </row>
    <row r="160" spans="1:22" x14ac:dyDescent="0.35">
      <c r="A160" s="14" t="s">
        <v>265</v>
      </c>
      <c r="B160" s="14" t="s">
        <v>192</v>
      </c>
      <c r="C160" s="14" t="s">
        <v>260</v>
      </c>
      <c r="D160" s="14" t="s">
        <v>88</v>
      </c>
      <c r="E160" s="14" t="s">
        <v>105</v>
      </c>
      <c r="F160" s="15">
        <v>1.3</v>
      </c>
      <c r="G160" s="15">
        <v>1.28</v>
      </c>
      <c r="H160" s="15">
        <v>1.66</v>
      </c>
      <c r="I160" s="16">
        <v>429314</v>
      </c>
      <c r="J160" s="16">
        <v>712661</v>
      </c>
      <c r="K160" s="16">
        <v>252371</v>
      </c>
      <c r="L160" s="16">
        <v>460290</v>
      </c>
      <c r="M160" s="16">
        <v>50474</v>
      </c>
      <c r="N160" s="16">
        <v>95901</v>
      </c>
      <c r="O160" s="16">
        <v>30285</v>
      </c>
      <c r="P160" s="16">
        <v>75711</v>
      </c>
      <c r="Q160" s="14" t="s">
        <v>90</v>
      </c>
      <c r="R160" s="14" t="s">
        <v>81</v>
      </c>
      <c r="S160" s="14">
        <v>7</v>
      </c>
      <c r="T160" s="14" t="s">
        <v>82</v>
      </c>
      <c r="U160" s="14" t="s">
        <v>78</v>
      </c>
      <c r="V160" s="14" t="s">
        <v>78</v>
      </c>
    </row>
    <row r="161" spans="1:22" x14ac:dyDescent="0.35">
      <c r="A161" s="17" t="s">
        <v>266</v>
      </c>
      <c r="B161" s="17" t="s">
        <v>192</v>
      </c>
      <c r="C161" s="17" t="s">
        <v>260</v>
      </c>
      <c r="D161" s="17" t="s">
        <v>73</v>
      </c>
      <c r="E161" s="17" t="s">
        <v>80</v>
      </c>
      <c r="F161" s="18">
        <v>2.75</v>
      </c>
      <c r="G161" s="18">
        <v>13.98</v>
      </c>
      <c r="H161" s="18">
        <v>38.450000000000003</v>
      </c>
      <c r="I161" s="19">
        <v>96758</v>
      </c>
      <c r="J161" s="19">
        <v>3720345</v>
      </c>
      <c r="K161" s="19">
        <v>1178043</v>
      </c>
      <c r="L161" s="19">
        <v>2542302</v>
      </c>
      <c r="M161" s="19">
        <v>235609</v>
      </c>
      <c r="N161" s="19">
        <v>447656</v>
      </c>
      <c r="O161" s="19">
        <v>141365</v>
      </c>
      <c r="P161" s="19">
        <v>353413</v>
      </c>
      <c r="Q161" s="17" t="s">
        <v>90</v>
      </c>
      <c r="R161" s="17" t="s">
        <v>81</v>
      </c>
      <c r="S161" s="17">
        <v>6</v>
      </c>
      <c r="T161" s="17" t="s">
        <v>77</v>
      </c>
      <c r="U161" s="17" t="s">
        <v>83</v>
      </c>
      <c r="V161" s="17" t="s">
        <v>83</v>
      </c>
    </row>
    <row r="162" spans="1:22" x14ac:dyDescent="0.35">
      <c r="A162" s="14" t="s">
        <v>267</v>
      </c>
      <c r="B162" s="14" t="s">
        <v>192</v>
      </c>
      <c r="C162" s="14" t="s">
        <v>260</v>
      </c>
      <c r="D162" s="14" t="s">
        <v>73</v>
      </c>
      <c r="E162" s="14" t="s">
        <v>105</v>
      </c>
      <c r="F162" s="15">
        <v>0.63</v>
      </c>
      <c r="G162" s="15">
        <v>1.58</v>
      </c>
      <c r="H162" s="15">
        <v>1</v>
      </c>
      <c r="I162" s="16">
        <v>413957</v>
      </c>
      <c r="J162" s="16">
        <v>413957</v>
      </c>
      <c r="K162" s="16">
        <v>167990</v>
      </c>
      <c r="L162" s="16">
        <v>245967</v>
      </c>
      <c r="M162" s="16">
        <v>33598</v>
      </c>
      <c r="N162" s="16">
        <v>63836</v>
      </c>
      <c r="O162" s="16">
        <v>20159</v>
      </c>
      <c r="P162" s="16">
        <v>50397</v>
      </c>
      <c r="Q162" s="14" t="s">
        <v>90</v>
      </c>
      <c r="R162" s="14" t="s">
        <v>76</v>
      </c>
      <c r="S162" s="14">
        <v>8</v>
      </c>
      <c r="T162" s="14" t="s">
        <v>82</v>
      </c>
      <c r="U162" s="14" t="s">
        <v>83</v>
      </c>
      <c r="V162" s="14" t="s">
        <v>83</v>
      </c>
    </row>
    <row r="163" spans="1:22" x14ac:dyDescent="0.35">
      <c r="A163" s="17" t="s">
        <v>268</v>
      </c>
      <c r="B163" s="17" t="s">
        <v>192</v>
      </c>
      <c r="C163" s="17" t="s">
        <v>260</v>
      </c>
      <c r="D163" s="17" t="s">
        <v>88</v>
      </c>
      <c r="E163" s="17" t="s">
        <v>74</v>
      </c>
      <c r="F163" s="18">
        <v>2.71</v>
      </c>
      <c r="G163" s="18">
        <v>8.75</v>
      </c>
      <c r="H163" s="18">
        <v>23.71</v>
      </c>
      <c r="I163" s="19">
        <v>191438</v>
      </c>
      <c r="J163" s="19">
        <v>4538995</v>
      </c>
      <c r="K163" s="19">
        <v>1860196</v>
      </c>
      <c r="L163" s="19">
        <v>2678799</v>
      </c>
      <c r="M163" s="19">
        <v>372039</v>
      </c>
      <c r="N163" s="19">
        <v>706874</v>
      </c>
      <c r="O163" s="19">
        <v>223224</v>
      </c>
      <c r="P163" s="19">
        <v>558059</v>
      </c>
      <c r="Q163" s="17" t="s">
        <v>75</v>
      </c>
      <c r="R163" s="17" t="s">
        <v>76</v>
      </c>
      <c r="S163" s="17">
        <v>8</v>
      </c>
      <c r="T163" s="17" t="s">
        <v>77</v>
      </c>
      <c r="U163" s="17" t="s">
        <v>83</v>
      </c>
      <c r="V163" s="17" t="s">
        <v>78</v>
      </c>
    </row>
    <row r="164" spans="1:22" x14ac:dyDescent="0.35">
      <c r="A164" s="14" t="s">
        <v>269</v>
      </c>
      <c r="B164" s="14" t="s">
        <v>192</v>
      </c>
      <c r="C164" s="14" t="s">
        <v>260</v>
      </c>
      <c r="D164" s="14" t="s">
        <v>73</v>
      </c>
      <c r="E164" s="14" t="s">
        <v>74</v>
      </c>
      <c r="F164" s="15">
        <v>2.44</v>
      </c>
      <c r="G164" s="15">
        <v>7.16</v>
      </c>
      <c r="H164" s="15">
        <v>17.47</v>
      </c>
      <c r="I164" s="16">
        <v>179677</v>
      </c>
      <c r="J164" s="16">
        <v>3138957</v>
      </c>
      <c r="K164" s="16">
        <v>1037505</v>
      </c>
      <c r="L164" s="16">
        <v>2101452</v>
      </c>
      <c r="M164" s="16">
        <v>207501</v>
      </c>
      <c r="N164" s="16">
        <v>394252</v>
      </c>
      <c r="O164" s="16">
        <v>124501</v>
      </c>
      <c r="P164" s="16">
        <v>311252</v>
      </c>
      <c r="Q164" s="14" t="s">
        <v>75</v>
      </c>
      <c r="R164" s="14" t="s">
        <v>81</v>
      </c>
      <c r="S164" s="14">
        <v>10</v>
      </c>
      <c r="T164" s="14" t="s">
        <v>77</v>
      </c>
      <c r="U164" s="14" t="s">
        <v>83</v>
      </c>
      <c r="V164" s="14" t="s">
        <v>78</v>
      </c>
    </row>
    <row r="165" spans="1:22" x14ac:dyDescent="0.35">
      <c r="A165" s="17" t="s">
        <v>270</v>
      </c>
      <c r="B165" s="17" t="s">
        <v>192</v>
      </c>
      <c r="C165" s="17" t="s">
        <v>260</v>
      </c>
      <c r="D165" s="17" t="s">
        <v>73</v>
      </c>
      <c r="E165" s="17" t="s">
        <v>111</v>
      </c>
      <c r="F165" s="18">
        <v>0.73</v>
      </c>
      <c r="G165" s="18">
        <v>0.85</v>
      </c>
      <c r="H165" s="18">
        <v>0.62</v>
      </c>
      <c r="I165" s="19">
        <v>521889</v>
      </c>
      <c r="J165" s="19">
        <v>323571</v>
      </c>
      <c r="K165" s="19">
        <v>112283</v>
      </c>
      <c r="L165" s="19">
        <v>211288</v>
      </c>
      <c r="M165" s="19">
        <v>22457</v>
      </c>
      <c r="N165" s="19">
        <v>42668</v>
      </c>
      <c r="O165" s="19">
        <v>13474</v>
      </c>
      <c r="P165" s="19">
        <v>33685</v>
      </c>
      <c r="Q165" s="17" t="s">
        <v>90</v>
      </c>
      <c r="R165" s="17" t="s">
        <v>81</v>
      </c>
      <c r="S165" s="17">
        <v>12</v>
      </c>
      <c r="T165" s="17" t="s">
        <v>82</v>
      </c>
      <c r="U165" s="17" t="s">
        <v>78</v>
      </c>
      <c r="V165" s="17" t="s">
        <v>78</v>
      </c>
    </row>
    <row r="166" spans="1:22" x14ac:dyDescent="0.35">
      <c r="A166" s="14" t="s">
        <v>271</v>
      </c>
      <c r="B166" s="14" t="s">
        <v>192</v>
      </c>
      <c r="C166" s="14" t="s">
        <v>260</v>
      </c>
      <c r="D166" s="14" t="s">
        <v>73</v>
      </c>
      <c r="E166" s="14" t="s">
        <v>101</v>
      </c>
      <c r="F166" s="15">
        <v>2.97</v>
      </c>
      <c r="G166" s="15">
        <v>1.33</v>
      </c>
      <c r="H166" s="15">
        <v>3.95</v>
      </c>
      <c r="I166" s="16">
        <v>119169</v>
      </c>
      <c r="J166" s="16">
        <v>470718</v>
      </c>
      <c r="K166" s="16">
        <v>189659</v>
      </c>
      <c r="L166" s="16">
        <v>281059</v>
      </c>
      <c r="M166" s="16">
        <v>37932</v>
      </c>
      <c r="N166" s="16">
        <v>72070</v>
      </c>
      <c r="O166" s="16">
        <v>22759</v>
      </c>
      <c r="P166" s="16">
        <v>56898</v>
      </c>
      <c r="Q166" s="14" t="s">
        <v>75</v>
      </c>
      <c r="R166" s="14" t="s">
        <v>76</v>
      </c>
      <c r="S166" s="14">
        <v>5</v>
      </c>
      <c r="T166" s="14" t="s">
        <v>77</v>
      </c>
      <c r="U166" s="14" t="s">
        <v>78</v>
      </c>
      <c r="V166" s="14" t="s">
        <v>83</v>
      </c>
    </row>
    <row r="167" spans="1:22" x14ac:dyDescent="0.35">
      <c r="A167" s="17" t="s">
        <v>272</v>
      </c>
      <c r="B167" s="17" t="s">
        <v>192</v>
      </c>
      <c r="C167" s="17" t="s">
        <v>260</v>
      </c>
      <c r="D167" s="17" t="s">
        <v>73</v>
      </c>
      <c r="E167" s="17" t="s">
        <v>80</v>
      </c>
      <c r="F167" s="18">
        <v>2.83</v>
      </c>
      <c r="G167" s="18">
        <v>13.24</v>
      </c>
      <c r="H167" s="18">
        <v>37.47</v>
      </c>
      <c r="I167" s="19">
        <v>85366</v>
      </c>
      <c r="J167" s="19">
        <v>3198664</v>
      </c>
      <c r="K167" s="19">
        <v>1314214</v>
      </c>
      <c r="L167" s="19">
        <v>1884450</v>
      </c>
      <c r="M167" s="19">
        <v>262843</v>
      </c>
      <c r="N167" s="19">
        <v>499401</v>
      </c>
      <c r="O167" s="19">
        <v>157706</v>
      </c>
      <c r="P167" s="19">
        <v>394264</v>
      </c>
      <c r="Q167" s="17" t="s">
        <v>86</v>
      </c>
      <c r="R167" s="17" t="s">
        <v>81</v>
      </c>
      <c r="S167" s="17">
        <v>11</v>
      </c>
      <c r="T167" s="17" t="s">
        <v>77</v>
      </c>
      <c r="U167" s="17" t="s">
        <v>78</v>
      </c>
      <c r="V167" s="17" t="s">
        <v>78</v>
      </c>
    </row>
    <row r="168" spans="1:22" x14ac:dyDescent="0.35">
      <c r="A168" s="14" t="s">
        <v>273</v>
      </c>
      <c r="B168" s="14" t="s">
        <v>192</v>
      </c>
      <c r="C168" s="14" t="s">
        <v>260</v>
      </c>
      <c r="D168" s="14" t="s">
        <v>73</v>
      </c>
      <c r="E168" s="14" t="s">
        <v>85</v>
      </c>
      <c r="F168" s="15">
        <v>3.36</v>
      </c>
      <c r="G168" s="15">
        <v>1.44</v>
      </c>
      <c r="H168" s="15">
        <v>4.84</v>
      </c>
      <c r="I168" s="16">
        <v>115382</v>
      </c>
      <c r="J168" s="16">
        <v>558449</v>
      </c>
      <c r="K168" s="16">
        <v>180041</v>
      </c>
      <c r="L168" s="16">
        <v>378408</v>
      </c>
      <c r="M168" s="16">
        <v>36008</v>
      </c>
      <c r="N168" s="16">
        <v>68416</v>
      </c>
      <c r="O168" s="16">
        <v>21605</v>
      </c>
      <c r="P168" s="16">
        <v>54012</v>
      </c>
      <c r="Q168" s="14" t="s">
        <v>75</v>
      </c>
      <c r="R168" s="14" t="s">
        <v>76</v>
      </c>
      <c r="S168" s="14">
        <v>11</v>
      </c>
      <c r="T168" s="14" t="s">
        <v>77</v>
      </c>
      <c r="U168" s="14" t="s">
        <v>83</v>
      </c>
      <c r="V168" s="14" t="s">
        <v>78</v>
      </c>
    </row>
    <row r="169" spans="1:22" x14ac:dyDescent="0.35">
      <c r="A169" s="17" t="s">
        <v>274</v>
      </c>
      <c r="B169" s="17" t="s">
        <v>275</v>
      </c>
      <c r="C169" s="17" t="s">
        <v>276</v>
      </c>
      <c r="D169" s="17" t="s">
        <v>73</v>
      </c>
      <c r="E169" s="17" t="s">
        <v>111</v>
      </c>
      <c r="F169" s="18">
        <v>1.1000000000000001</v>
      </c>
      <c r="G169" s="18">
        <v>0.97</v>
      </c>
      <c r="H169" s="18">
        <v>1.07</v>
      </c>
      <c r="I169" s="19">
        <v>549094</v>
      </c>
      <c r="J169" s="19">
        <v>587531</v>
      </c>
      <c r="K169" s="19">
        <v>192279</v>
      </c>
      <c r="L169" s="19">
        <v>395252</v>
      </c>
      <c r="M169" s="19">
        <v>38456</v>
      </c>
      <c r="N169" s="19">
        <v>73066</v>
      </c>
      <c r="O169" s="19">
        <v>23073</v>
      </c>
      <c r="P169" s="19">
        <v>57684</v>
      </c>
      <c r="Q169" s="17" t="s">
        <v>75</v>
      </c>
      <c r="R169" s="17" t="s">
        <v>76</v>
      </c>
      <c r="S169" s="17">
        <v>3</v>
      </c>
      <c r="T169" s="17" t="s">
        <v>82</v>
      </c>
      <c r="U169" s="17" t="s">
        <v>78</v>
      </c>
      <c r="V169" s="17" t="s">
        <v>78</v>
      </c>
    </row>
    <row r="170" spans="1:22" x14ac:dyDescent="0.35">
      <c r="A170" s="14" t="s">
        <v>277</v>
      </c>
      <c r="B170" s="14" t="s">
        <v>275</v>
      </c>
      <c r="C170" s="14" t="s">
        <v>276</v>
      </c>
      <c r="D170" s="14" t="s">
        <v>88</v>
      </c>
      <c r="E170" s="14" t="s">
        <v>111</v>
      </c>
      <c r="F170" s="15">
        <v>2.78</v>
      </c>
      <c r="G170" s="15">
        <v>0.89</v>
      </c>
      <c r="H170" s="15">
        <v>2.4700000000000002</v>
      </c>
      <c r="I170" s="16">
        <v>477738</v>
      </c>
      <c r="J170" s="16">
        <v>1180013</v>
      </c>
      <c r="K170" s="16">
        <v>435966</v>
      </c>
      <c r="L170" s="16">
        <v>744047</v>
      </c>
      <c r="M170" s="16">
        <v>87193</v>
      </c>
      <c r="N170" s="16">
        <v>165667</v>
      </c>
      <c r="O170" s="16">
        <v>52316</v>
      </c>
      <c r="P170" s="16">
        <v>130790</v>
      </c>
      <c r="Q170" s="14" t="s">
        <v>90</v>
      </c>
      <c r="R170" s="14" t="s">
        <v>81</v>
      </c>
      <c r="S170" s="14">
        <v>7</v>
      </c>
      <c r="T170" s="14" t="s">
        <v>77</v>
      </c>
      <c r="U170" s="14" t="s">
        <v>78</v>
      </c>
      <c r="V170" s="14" t="s">
        <v>78</v>
      </c>
    </row>
    <row r="171" spans="1:22" x14ac:dyDescent="0.35">
      <c r="A171" s="17" t="s">
        <v>278</v>
      </c>
      <c r="B171" s="17" t="s">
        <v>275</v>
      </c>
      <c r="C171" s="17" t="s">
        <v>276</v>
      </c>
      <c r="D171" s="17" t="s">
        <v>88</v>
      </c>
      <c r="E171" s="17" t="s">
        <v>96</v>
      </c>
      <c r="F171" s="18">
        <v>1.3</v>
      </c>
      <c r="G171" s="18">
        <v>0.66</v>
      </c>
      <c r="H171" s="18">
        <v>0.86</v>
      </c>
      <c r="I171" s="19">
        <v>349995</v>
      </c>
      <c r="J171" s="19">
        <v>300996</v>
      </c>
      <c r="K171" s="19">
        <v>101793</v>
      </c>
      <c r="L171" s="19">
        <v>199203</v>
      </c>
      <c r="M171" s="19">
        <v>20359</v>
      </c>
      <c r="N171" s="19">
        <v>38681</v>
      </c>
      <c r="O171" s="19">
        <v>12215</v>
      </c>
      <c r="P171" s="19">
        <v>30538</v>
      </c>
      <c r="Q171" s="17" t="s">
        <v>90</v>
      </c>
      <c r="R171" s="17" t="s">
        <v>76</v>
      </c>
      <c r="S171" s="17">
        <v>8</v>
      </c>
      <c r="T171" s="17" t="s">
        <v>82</v>
      </c>
      <c r="U171" s="17" t="s">
        <v>83</v>
      </c>
      <c r="V171" s="17" t="s">
        <v>78</v>
      </c>
    </row>
    <row r="172" spans="1:22" x14ac:dyDescent="0.35">
      <c r="A172" s="14" t="s">
        <v>279</v>
      </c>
      <c r="B172" s="14" t="s">
        <v>275</v>
      </c>
      <c r="C172" s="14" t="s">
        <v>276</v>
      </c>
      <c r="D172" s="14" t="s">
        <v>88</v>
      </c>
      <c r="E172" s="14" t="s">
        <v>101</v>
      </c>
      <c r="F172" s="15">
        <v>4.54</v>
      </c>
      <c r="G172" s="15">
        <v>1.24</v>
      </c>
      <c r="H172" s="15">
        <v>5.63</v>
      </c>
      <c r="I172" s="16">
        <v>142827</v>
      </c>
      <c r="J172" s="16">
        <v>804116</v>
      </c>
      <c r="K172" s="16">
        <v>239874</v>
      </c>
      <c r="L172" s="16">
        <v>564242</v>
      </c>
      <c r="M172" s="16">
        <v>47975</v>
      </c>
      <c r="N172" s="16">
        <v>91152</v>
      </c>
      <c r="O172" s="16">
        <v>28785</v>
      </c>
      <c r="P172" s="16">
        <v>71962</v>
      </c>
      <c r="Q172" s="14" t="s">
        <v>90</v>
      </c>
      <c r="R172" s="14" t="s">
        <v>76</v>
      </c>
      <c r="S172" s="14">
        <v>8</v>
      </c>
      <c r="T172" s="14" t="s">
        <v>77</v>
      </c>
      <c r="U172" s="14" t="s">
        <v>78</v>
      </c>
      <c r="V172" s="14" t="s">
        <v>83</v>
      </c>
    </row>
    <row r="173" spans="1:22" x14ac:dyDescent="0.35">
      <c r="A173" s="17" t="s">
        <v>280</v>
      </c>
      <c r="B173" s="17" t="s">
        <v>275</v>
      </c>
      <c r="C173" s="17" t="s">
        <v>276</v>
      </c>
      <c r="D173" s="17" t="s">
        <v>88</v>
      </c>
      <c r="E173" s="17" t="s">
        <v>74</v>
      </c>
      <c r="F173" s="18">
        <v>1.51</v>
      </c>
      <c r="G173" s="18">
        <v>5.67</v>
      </c>
      <c r="H173" s="18">
        <v>8.56</v>
      </c>
      <c r="I173" s="19">
        <v>155733</v>
      </c>
      <c r="J173" s="19">
        <v>1333074</v>
      </c>
      <c r="K173" s="19">
        <v>549698</v>
      </c>
      <c r="L173" s="19">
        <v>783376</v>
      </c>
      <c r="M173" s="19">
        <v>109940</v>
      </c>
      <c r="N173" s="19">
        <v>208885</v>
      </c>
      <c r="O173" s="19">
        <v>65964</v>
      </c>
      <c r="P173" s="19">
        <v>164909</v>
      </c>
      <c r="Q173" s="17" t="s">
        <v>75</v>
      </c>
      <c r="R173" s="17" t="s">
        <v>81</v>
      </c>
      <c r="S173" s="17">
        <v>6</v>
      </c>
      <c r="T173" s="17" t="s">
        <v>82</v>
      </c>
      <c r="U173" s="17" t="s">
        <v>78</v>
      </c>
      <c r="V173" s="17" t="s">
        <v>83</v>
      </c>
    </row>
    <row r="174" spans="1:22" x14ac:dyDescent="0.35">
      <c r="A174" s="14" t="s">
        <v>281</v>
      </c>
      <c r="B174" s="14" t="s">
        <v>275</v>
      </c>
      <c r="C174" s="14" t="s">
        <v>276</v>
      </c>
      <c r="D174" s="14" t="s">
        <v>88</v>
      </c>
      <c r="E174" s="14" t="s">
        <v>111</v>
      </c>
      <c r="F174" s="15">
        <v>1.1599999999999999</v>
      </c>
      <c r="G174" s="15">
        <v>0.61</v>
      </c>
      <c r="H174" s="15">
        <v>0.71</v>
      </c>
      <c r="I174" s="16">
        <v>562908</v>
      </c>
      <c r="J174" s="16">
        <v>399665</v>
      </c>
      <c r="K174" s="16">
        <v>138026</v>
      </c>
      <c r="L174" s="16">
        <v>261639</v>
      </c>
      <c r="M174" s="16">
        <v>27605</v>
      </c>
      <c r="N174" s="16">
        <v>52450</v>
      </c>
      <c r="O174" s="16">
        <v>16563</v>
      </c>
      <c r="P174" s="16">
        <v>41408</v>
      </c>
      <c r="Q174" s="14" t="s">
        <v>90</v>
      </c>
      <c r="R174" s="14" t="s">
        <v>81</v>
      </c>
      <c r="S174" s="14">
        <v>3</v>
      </c>
      <c r="T174" s="14" t="s">
        <v>82</v>
      </c>
      <c r="U174" s="14" t="s">
        <v>78</v>
      </c>
      <c r="V174" s="14" t="s">
        <v>83</v>
      </c>
    </row>
    <row r="175" spans="1:22" x14ac:dyDescent="0.35">
      <c r="A175" s="17" t="s">
        <v>282</v>
      </c>
      <c r="B175" s="17" t="s">
        <v>275</v>
      </c>
      <c r="C175" s="17" t="s">
        <v>276</v>
      </c>
      <c r="D175" s="17" t="s">
        <v>88</v>
      </c>
      <c r="E175" s="17" t="s">
        <v>93</v>
      </c>
      <c r="F175" s="18">
        <v>3.4</v>
      </c>
      <c r="G175" s="18">
        <v>0.78</v>
      </c>
      <c r="H175" s="18">
        <v>2.65</v>
      </c>
      <c r="I175" s="19">
        <v>363230</v>
      </c>
      <c r="J175" s="19">
        <v>962560</v>
      </c>
      <c r="K175" s="19">
        <v>276328</v>
      </c>
      <c r="L175" s="19">
        <v>686232</v>
      </c>
      <c r="M175" s="19">
        <v>55266</v>
      </c>
      <c r="N175" s="19">
        <v>105005</v>
      </c>
      <c r="O175" s="19">
        <v>33159</v>
      </c>
      <c r="P175" s="19">
        <v>82898</v>
      </c>
      <c r="Q175" s="17" t="s">
        <v>90</v>
      </c>
      <c r="R175" s="17" t="s">
        <v>81</v>
      </c>
      <c r="S175" s="17">
        <v>7</v>
      </c>
      <c r="T175" s="17" t="s">
        <v>77</v>
      </c>
      <c r="U175" s="17" t="s">
        <v>83</v>
      </c>
      <c r="V175" s="17" t="s">
        <v>78</v>
      </c>
    </row>
    <row r="176" spans="1:22" x14ac:dyDescent="0.35">
      <c r="A176" s="14" t="s">
        <v>283</v>
      </c>
      <c r="B176" s="14" t="s">
        <v>275</v>
      </c>
      <c r="C176" s="14" t="s">
        <v>276</v>
      </c>
      <c r="D176" s="14" t="s">
        <v>88</v>
      </c>
      <c r="E176" s="14" t="s">
        <v>74</v>
      </c>
      <c r="F176" s="15">
        <v>0.66</v>
      </c>
      <c r="G176" s="15">
        <v>6.2</v>
      </c>
      <c r="H176" s="15">
        <v>4.09</v>
      </c>
      <c r="I176" s="16">
        <v>172752</v>
      </c>
      <c r="J176" s="16">
        <v>706556</v>
      </c>
      <c r="K176" s="16">
        <v>237725</v>
      </c>
      <c r="L176" s="16">
        <v>468831</v>
      </c>
      <c r="M176" s="16">
        <v>47545</v>
      </c>
      <c r="N176" s="16">
        <v>90336</v>
      </c>
      <c r="O176" s="16">
        <v>28527</v>
      </c>
      <c r="P176" s="16">
        <v>71318</v>
      </c>
      <c r="Q176" s="14" t="s">
        <v>86</v>
      </c>
      <c r="R176" s="14" t="s">
        <v>81</v>
      </c>
      <c r="S176" s="14">
        <v>3</v>
      </c>
      <c r="T176" s="14" t="s">
        <v>82</v>
      </c>
      <c r="U176" s="14" t="s">
        <v>83</v>
      </c>
      <c r="V176" s="14" t="s">
        <v>83</v>
      </c>
    </row>
    <row r="177" spans="1:22" x14ac:dyDescent="0.35">
      <c r="A177" s="17" t="s">
        <v>284</v>
      </c>
      <c r="B177" s="17" t="s">
        <v>275</v>
      </c>
      <c r="C177" s="17" t="s">
        <v>276</v>
      </c>
      <c r="D177" s="17" t="s">
        <v>88</v>
      </c>
      <c r="E177" s="17" t="s">
        <v>98</v>
      </c>
      <c r="F177" s="18">
        <v>2.16</v>
      </c>
      <c r="G177" s="18">
        <v>1.39</v>
      </c>
      <c r="H177" s="18">
        <v>3</v>
      </c>
      <c r="I177" s="19">
        <v>330421</v>
      </c>
      <c r="J177" s="19">
        <v>991263</v>
      </c>
      <c r="K177" s="19">
        <v>383635</v>
      </c>
      <c r="L177" s="19">
        <v>607628</v>
      </c>
      <c r="M177" s="19">
        <v>76727</v>
      </c>
      <c r="N177" s="19">
        <v>145781</v>
      </c>
      <c r="O177" s="19">
        <v>46036</v>
      </c>
      <c r="P177" s="19">
        <v>115090</v>
      </c>
      <c r="Q177" s="17" t="s">
        <v>90</v>
      </c>
      <c r="R177" s="17" t="s">
        <v>76</v>
      </c>
      <c r="S177" s="17">
        <v>5</v>
      </c>
      <c r="T177" s="17" t="s">
        <v>77</v>
      </c>
      <c r="U177" s="17" t="s">
        <v>78</v>
      </c>
      <c r="V177" s="17" t="s">
        <v>83</v>
      </c>
    </row>
    <row r="178" spans="1:22" x14ac:dyDescent="0.35">
      <c r="A178" s="14" t="s">
        <v>285</v>
      </c>
      <c r="B178" s="14" t="s">
        <v>275</v>
      </c>
      <c r="C178" s="14" t="s">
        <v>276</v>
      </c>
      <c r="D178" s="14" t="s">
        <v>88</v>
      </c>
      <c r="E178" s="14" t="s">
        <v>101</v>
      </c>
      <c r="F178" s="15">
        <v>3.57</v>
      </c>
      <c r="G178" s="15">
        <v>0.94</v>
      </c>
      <c r="H178" s="15">
        <v>3.36</v>
      </c>
      <c r="I178" s="16">
        <v>111660</v>
      </c>
      <c r="J178" s="16">
        <v>375178</v>
      </c>
      <c r="K178" s="16">
        <v>136694</v>
      </c>
      <c r="L178" s="16">
        <v>238484</v>
      </c>
      <c r="M178" s="16">
        <v>27339</v>
      </c>
      <c r="N178" s="16">
        <v>51944</v>
      </c>
      <c r="O178" s="16">
        <v>16403</v>
      </c>
      <c r="P178" s="16">
        <v>41008</v>
      </c>
      <c r="Q178" s="14" t="s">
        <v>90</v>
      </c>
      <c r="R178" s="14" t="s">
        <v>76</v>
      </c>
      <c r="S178" s="14">
        <v>3</v>
      </c>
      <c r="T178" s="14" t="s">
        <v>77</v>
      </c>
      <c r="U178" s="14" t="s">
        <v>78</v>
      </c>
      <c r="V178" s="14" t="s">
        <v>78</v>
      </c>
    </row>
    <row r="179" spans="1:22" x14ac:dyDescent="0.35">
      <c r="A179" s="17" t="s">
        <v>286</v>
      </c>
      <c r="B179" s="17" t="s">
        <v>275</v>
      </c>
      <c r="C179" s="17" t="s">
        <v>276</v>
      </c>
      <c r="D179" s="17" t="s">
        <v>88</v>
      </c>
      <c r="E179" s="17" t="s">
        <v>101</v>
      </c>
      <c r="F179" s="18">
        <v>3.36</v>
      </c>
      <c r="G179" s="18">
        <v>0.81</v>
      </c>
      <c r="H179" s="18">
        <v>2.72</v>
      </c>
      <c r="I179" s="19">
        <v>139742</v>
      </c>
      <c r="J179" s="19">
        <v>380098</v>
      </c>
      <c r="K179" s="19">
        <v>113866</v>
      </c>
      <c r="L179" s="19">
        <v>266232</v>
      </c>
      <c r="M179" s="19">
        <v>22773</v>
      </c>
      <c r="N179" s="19">
        <v>43269</v>
      </c>
      <c r="O179" s="19">
        <v>13664</v>
      </c>
      <c r="P179" s="19">
        <v>34160</v>
      </c>
      <c r="Q179" s="17" t="s">
        <v>75</v>
      </c>
      <c r="R179" s="17" t="s">
        <v>81</v>
      </c>
      <c r="S179" s="17">
        <v>5</v>
      </c>
      <c r="T179" s="17" t="s">
        <v>77</v>
      </c>
      <c r="U179" s="17" t="s">
        <v>78</v>
      </c>
      <c r="V179" s="17" t="s">
        <v>83</v>
      </c>
    </row>
    <row r="180" spans="1:22" x14ac:dyDescent="0.35">
      <c r="A180" s="14" t="s">
        <v>287</v>
      </c>
      <c r="B180" s="14" t="s">
        <v>275</v>
      </c>
      <c r="C180" s="14" t="s">
        <v>276</v>
      </c>
      <c r="D180" s="14" t="s">
        <v>88</v>
      </c>
      <c r="E180" s="14" t="s">
        <v>85</v>
      </c>
      <c r="F180" s="15">
        <v>2.78</v>
      </c>
      <c r="G180" s="15">
        <v>1.2</v>
      </c>
      <c r="H180" s="15">
        <v>3.34</v>
      </c>
      <c r="I180" s="16">
        <v>129604</v>
      </c>
      <c r="J180" s="16">
        <v>432877</v>
      </c>
      <c r="K180" s="16">
        <v>155320</v>
      </c>
      <c r="L180" s="16">
        <v>277557</v>
      </c>
      <c r="M180" s="16">
        <v>31064</v>
      </c>
      <c r="N180" s="16">
        <v>59022</v>
      </c>
      <c r="O180" s="16">
        <v>18638</v>
      </c>
      <c r="P180" s="16">
        <v>46596</v>
      </c>
      <c r="Q180" s="14" t="s">
        <v>90</v>
      </c>
      <c r="R180" s="14" t="s">
        <v>76</v>
      </c>
      <c r="S180" s="14">
        <v>8</v>
      </c>
      <c r="T180" s="14" t="s">
        <v>77</v>
      </c>
      <c r="U180" s="14" t="s">
        <v>78</v>
      </c>
      <c r="V180" s="14" t="s">
        <v>83</v>
      </c>
    </row>
    <row r="181" spans="1:22" x14ac:dyDescent="0.35">
      <c r="A181" s="17" t="s">
        <v>288</v>
      </c>
      <c r="B181" s="17" t="s">
        <v>275</v>
      </c>
      <c r="C181" s="17" t="s">
        <v>276</v>
      </c>
      <c r="D181" s="17" t="s">
        <v>88</v>
      </c>
      <c r="E181" s="17" t="s">
        <v>74</v>
      </c>
      <c r="F181" s="18">
        <v>1.88</v>
      </c>
      <c r="G181" s="18">
        <v>8.51</v>
      </c>
      <c r="H181" s="18">
        <v>16</v>
      </c>
      <c r="I181" s="19">
        <v>192168</v>
      </c>
      <c r="J181" s="19">
        <v>3074688</v>
      </c>
      <c r="K181" s="19">
        <v>1157085</v>
      </c>
      <c r="L181" s="19">
        <v>1917603</v>
      </c>
      <c r="M181" s="19">
        <v>231417</v>
      </c>
      <c r="N181" s="19">
        <v>439692</v>
      </c>
      <c r="O181" s="19">
        <v>138850</v>
      </c>
      <c r="P181" s="19">
        <v>347126</v>
      </c>
      <c r="Q181" s="17" t="s">
        <v>86</v>
      </c>
      <c r="R181" s="17" t="s">
        <v>81</v>
      </c>
      <c r="S181" s="17">
        <v>7</v>
      </c>
      <c r="T181" s="17" t="s">
        <v>82</v>
      </c>
      <c r="U181" s="17" t="s">
        <v>83</v>
      </c>
      <c r="V181" s="17" t="s">
        <v>83</v>
      </c>
    </row>
    <row r="182" spans="1:22" x14ac:dyDescent="0.35">
      <c r="A182" s="14" t="s">
        <v>289</v>
      </c>
      <c r="B182" s="14" t="s">
        <v>275</v>
      </c>
      <c r="C182" s="14" t="s">
        <v>276</v>
      </c>
      <c r="D182" s="14" t="s">
        <v>73</v>
      </c>
      <c r="E182" s="14" t="s">
        <v>111</v>
      </c>
      <c r="F182" s="15">
        <v>3.02</v>
      </c>
      <c r="G182" s="15">
        <v>0.95</v>
      </c>
      <c r="H182" s="15">
        <v>2.87</v>
      </c>
      <c r="I182" s="16">
        <v>441565</v>
      </c>
      <c r="J182" s="16">
        <v>1267292</v>
      </c>
      <c r="K182" s="16">
        <v>466444</v>
      </c>
      <c r="L182" s="16">
        <v>800848</v>
      </c>
      <c r="M182" s="16">
        <v>93289</v>
      </c>
      <c r="N182" s="16">
        <v>177249</v>
      </c>
      <c r="O182" s="16">
        <v>55973</v>
      </c>
      <c r="P182" s="16">
        <v>139933</v>
      </c>
      <c r="Q182" s="14" t="s">
        <v>75</v>
      </c>
      <c r="R182" s="14" t="s">
        <v>81</v>
      </c>
      <c r="S182" s="14">
        <v>5</v>
      </c>
      <c r="T182" s="14" t="s">
        <v>77</v>
      </c>
      <c r="U182" s="14" t="s">
        <v>83</v>
      </c>
      <c r="V182" s="14" t="s">
        <v>78</v>
      </c>
    </row>
    <row r="183" spans="1:22" x14ac:dyDescent="0.35">
      <c r="A183" s="17" t="s">
        <v>290</v>
      </c>
      <c r="B183" s="17" t="s">
        <v>275</v>
      </c>
      <c r="C183" s="17" t="s">
        <v>276</v>
      </c>
      <c r="D183" s="17" t="s">
        <v>73</v>
      </c>
      <c r="E183" s="17" t="s">
        <v>80</v>
      </c>
      <c r="F183" s="18">
        <v>1.36</v>
      </c>
      <c r="G183" s="18">
        <v>14.47</v>
      </c>
      <c r="H183" s="18">
        <v>19.68</v>
      </c>
      <c r="I183" s="19">
        <v>92685</v>
      </c>
      <c r="J183" s="19">
        <v>1824041</v>
      </c>
      <c r="K183" s="19">
        <v>616187</v>
      </c>
      <c r="L183" s="19">
        <v>1207854</v>
      </c>
      <c r="M183" s="19">
        <v>123237</v>
      </c>
      <c r="N183" s="19">
        <v>234151</v>
      </c>
      <c r="O183" s="19">
        <v>73942</v>
      </c>
      <c r="P183" s="19">
        <v>184856</v>
      </c>
      <c r="Q183" s="17" t="s">
        <v>86</v>
      </c>
      <c r="R183" s="17" t="s">
        <v>81</v>
      </c>
      <c r="S183" s="17">
        <v>11</v>
      </c>
      <c r="T183" s="17" t="s">
        <v>82</v>
      </c>
      <c r="U183" s="17" t="s">
        <v>83</v>
      </c>
      <c r="V183" s="17" t="s">
        <v>83</v>
      </c>
    </row>
    <row r="184" spans="1:22" x14ac:dyDescent="0.35">
      <c r="A184" s="14" t="s">
        <v>291</v>
      </c>
      <c r="B184" s="14" t="s">
        <v>275</v>
      </c>
      <c r="C184" s="14" t="s">
        <v>276</v>
      </c>
      <c r="D184" s="14" t="s">
        <v>73</v>
      </c>
      <c r="E184" s="14" t="s">
        <v>80</v>
      </c>
      <c r="F184" s="15">
        <v>2.83</v>
      </c>
      <c r="G184" s="15">
        <v>15.55</v>
      </c>
      <c r="H184" s="15">
        <v>44.01</v>
      </c>
      <c r="I184" s="16">
        <v>109197</v>
      </c>
      <c r="J184" s="16">
        <v>4805760</v>
      </c>
      <c r="K184" s="16">
        <v>1667464</v>
      </c>
      <c r="L184" s="16">
        <v>3138296</v>
      </c>
      <c r="M184" s="16">
        <v>333493</v>
      </c>
      <c r="N184" s="16">
        <v>633636</v>
      </c>
      <c r="O184" s="16">
        <v>200096</v>
      </c>
      <c r="P184" s="16">
        <v>500239</v>
      </c>
      <c r="Q184" s="14" t="s">
        <v>90</v>
      </c>
      <c r="R184" s="14" t="s">
        <v>81</v>
      </c>
      <c r="S184" s="14">
        <v>5</v>
      </c>
      <c r="T184" s="14" t="s">
        <v>77</v>
      </c>
      <c r="U184" s="14" t="s">
        <v>78</v>
      </c>
      <c r="V184" s="14" t="s">
        <v>83</v>
      </c>
    </row>
    <row r="185" spans="1:22" x14ac:dyDescent="0.35">
      <c r="A185" s="17" t="s">
        <v>292</v>
      </c>
      <c r="B185" s="17" t="s">
        <v>275</v>
      </c>
      <c r="C185" s="17" t="s">
        <v>276</v>
      </c>
      <c r="D185" s="17" t="s">
        <v>88</v>
      </c>
      <c r="E185" s="17" t="s">
        <v>101</v>
      </c>
      <c r="F185" s="18">
        <v>4.22</v>
      </c>
      <c r="G185" s="18">
        <v>1.25</v>
      </c>
      <c r="H185" s="18">
        <v>5.27</v>
      </c>
      <c r="I185" s="19">
        <v>131778</v>
      </c>
      <c r="J185" s="19">
        <v>694470</v>
      </c>
      <c r="K185" s="19">
        <v>272587</v>
      </c>
      <c r="L185" s="19">
        <v>421883</v>
      </c>
      <c r="M185" s="19">
        <v>54517</v>
      </c>
      <c r="N185" s="19">
        <v>103583</v>
      </c>
      <c r="O185" s="19">
        <v>32710</v>
      </c>
      <c r="P185" s="19">
        <v>81776</v>
      </c>
      <c r="Q185" s="17" t="s">
        <v>90</v>
      </c>
      <c r="R185" s="17" t="s">
        <v>81</v>
      </c>
      <c r="S185" s="17">
        <v>6</v>
      </c>
      <c r="T185" s="17" t="s">
        <v>77</v>
      </c>
      <c r="U185" s="17" t="s">
        <v>78</v>
      </c>
      <c r="V185" s="17" t="s">
        <v>83</v>
      </c>
    </row>
    <row r="186" spans="1:22" x14ac:dyDescent="0.35">
      <c r="A186" s="14" t="s">
        <v>293</v>
      </c>
      <c r="B186" s="14" t="s">
        <v>275</v>
      </c>
      <c r="C186" s="14" t="s">
        <v>294</v>
      </c>
      <c r="D186" s="14" t="s">
        <v>73</v>
      </c>
      <c r="E186" s="14" t="s">
        <v>85</v>
      </c>
      <c r="F186" s="15">
        <v>4.74</v>
      </c>
      <c r="G186" s="15">
        <v>1.81</v>
      </c>
      <c r="H186" s="15">
        <v>8.58</v>
      </c>
      <c r="I186" s="16">
        <v>140576</v>
      </c>
      <c r="J186" s="16">
        <v>1206142</v>
      </c>
      <c r="K186" s="16">
        <v>456749</v>
      </c>
      <c r="L186" s="16">
        <v>749393</v>
      </c>
      <c r="M186" s="16">
        <v>91350</v>
      </c>
      <c r="N186" s="16">
        <v>173565</v>
      </c>
      <c r="O186" s="16">
        <v>54810</v>
      </c>
      <c r="P186" s="16">
        <v>137025</v>
      </c>
      <c r="Q186" s="14" t="s">
        <v>75</v>
      </c>
      <c r="R186" s="14" t="s">
        <v>81</v>
      </c>
      <c r="S186" s="14">
        <v>8</v>
      </c>
      <c r="T186" s="14" t="s">
        <v>77</v>
      </c>
      <c r="U186" s="14" t="s">
        <v>78</v>
      </c>
      <c r="V186" s="14" t="s">
        <v>83</v>
      </c>
    </row>
    <row r="187" spans="1:22" x14ac:dyDescent="0.35">
      <c r="A187" s="17" t="s">
        <v>295</v>
      </c>
      <c r="B187" s="17" t="s">
        <v>275</v>
      </c>
      <c r="C187" s="17" t="s">
        <v>294</v>
      </c>
      <c r="D187" s="17" t="s">
        <v>88</v>
      </c>
      <c r="E187" s="17" t="s">
        <v>93</v>
      </c>
      <c r="F187" s="18">
        <v>1.36</v>
      </c>
      <c r="G187" s="18">
        <v>0.98</v>
      </c>
      <c r="H187" s="18">
        <v>1.33</v>
      </c>
      <c r="I187" s="19">
        <v>384924</v>
      </c>
      <c r="J187" s="19">
        <v>511949</v>
      </c>
      <c r="K187" s="19">
        <v>207547</v>
      </c>
      <c r="L187" s="19">
        <v>304402</v>
      </c>
      <c r="M187" s="19">
        <v>41509</v>
      </c>
      <c r="N187" s="19">
        <v>78868</v>
      </c>
      <c r="O187" s="19">
        <v>24906</v>
      </c>
      <c r="P187" s="19">
        <v>62264</v>
      </c>
      <c r="Q187" s="17" t="s">
        <v>90</v>
      </c>
      <c r="R187" s="17" t="s">
        <v>81</v>
      </c>
      <c r="S187" s="17">
        <v>5</v>
      </c>
      <c r="T187" s="17" t="s">
        <v>82</v>
      </c>
      <c r="U187" s="17" t="s">
        <v>78</v>
      </c>
      <c r="V187" s="17" t="s">
        <v>78</v>
      </c>
    </row>
    <row r="188" spans="1:22" x14ac:dyDescent="0.35">
      <c r="A188" s="14" t="s">
        <v>296</v>
      </c>
      <c r="B188" s="14" t="s">
        <v>275</v>
      </c>
      <c r="C188" s="14" t="s">
        <v>294</v>
      </c>
      <c r="D188" s="14" t="s">
        <v>73</v>
      </c>
      <c r="E188" s="14" t="s">
        <v>85</v>
      </c>
      <c r="F188" s="15">
        <v>2.06</v>
      </c>
      <c r="G188" s="15">
        <v>1.35</v>
      </c>
      <c r="H188" s="15">
        <v>2.78</v>
      </c>
      <c r="I188" s="16">
        <v>120501</v>
      </c>
      <c r="J188" s="16">
        <v>334993</v>
      </c>
      <c r="K188" s="16">
        <v>116266</v>
      </c>
      <c r="L188" s="16">
        <v>218727</v>
      </c>
      <c r="M188" s="16">
        <v>23253</v>
      </c>
      <c r="N188" s="16">
        <v>44181</v>
      </c>
      <c r="O188" s="16">
        <v>13952</v>
      </c>
      <c r="P188" s="16">
        <v>34880</v>
      </c>
      <c r="Q188" s="14" t="s">
        <v>86</v>
      </c>
      <c r="R188" s="14" t="s">
        <v>81</v>
      </c>
      <c r="S188" s="14">
        <v>11</v>
      </c>
      <c r="T188" s="14" t="s">
        <v>77</v>
      </c>
      <c r="U188" s="14" t="s">
        <v>83</v>
      </c>
      <c r="V188" s="14" t="s">
        <v>83</v>
      </c>
    </row>
    <row r="189" spans="1:22" x14ac:dyDescent="0.35">
      <c r="A189" s="17" t="s">
        <v>297</v>
      </c>
      <c r="B189" s="17" t="s">
        <v>275</v>
      </c>
      <c r="C189" s="17" t="s">
        <v>294</v>
      </c>
      <c r="D189" s="17" t="s">
        <v>73</v>
      </c>
      <c r="E189" s="17" t="s">
        <v>116</v>
      </c>
      <c r="F189" s="18">
        <v>2.65</v>
      </c>
      <c r="G189" s="18">
        <v>1.89</v>
      </c>
      <c r="H189" s="18">
        <v>5.01</v>
      </c>
      <c r="I189" s="19">
        <v>133797</v>
      </c>
      <c r="J189" s="19">
        <v>670323</v>
      </c>
      <c r="K189" s="19">
        <v>250551</v>
      </c>
      <c r="L189" s="19">
        <v>419772</v>
      </c>
      <c r="M189" s="19">
        <v>50110</v>
      </c>
      <c r="N189" s="19">
        <v>95209</v>
      </c>
      <c r="O189" s="19">
        <v>30066</v>
      </c>
      <c r="P189" s="19">
        <v>75165</v>
      </c>
      <c r="Q189" s="17" t="s">
        <v>75</v>
      </c>
      <c r="R189" s="17" t="s">
        <v>76</v>
      </c>
      <c r="S189" s="17">
        <v>6</v>
      </c>
      <c r="T189" s="17" t="s">
        <v>77</v>
      </c>
      <c r="U189" s="17" t="s">
        <v>78</v>
      </c>
      <c r="V189" s="17" t="s">
        <v>78</v>
      </c>
    </row>
    <row r="190" spans="1:22" x14ac:dyDescent="0.35">
      <c r="A190" s="14" t="s">
        <v>298</v>
      </c>
      <c r="B190" s="14" t="s">
        <v>275</v>
      </c>
      <c r="C190" s="14" t="s">
        <v>294</v>
      </c>
      <c r="D190" s="14" t="s">
        <v>88</v>
      </c>
      <c r="E190" s="14" t="s">
        <v>96</v>
      </c>
      <c r="F190" s="15">
        <v>1.88</v>
      </c>
      <c r="G190" s="15">
        <v>0.45</v>
      </c>
      <c r="H190" s="15">
        <v>0.85</v>
      </c>
      <c r="I190" s="16">
        <v>421680</v>
      </c>
      <c r="J190" s="16">
        <v>358428</v>
      </c>
      <c r="K190" s="16">
        <v>100620</v>
      </c>
      <c r="L190" s="16">
        <v>257808</v>
      </c>
      <c r="M190" s="16">
        <v>20124</v>
      </c>
      <c r="N190" s="16">
        <v>38236</v>
      </c>
      <c r="O190" s="16">
        <v>12074</v>
      </c>
      <c r="P190" s="16">
        <v>30186</v>
      </c>
      <c r="Q190" s="14" t="s">
        <v>75</v>
      </c>
      <c r="R190" s="14" t="s">
        <v>76</v>
      </c>
      <c r="S190" s="14">
        <v>9</v>
      </c>
      <c r="T190" s="14" t="s">
        <v>82</v>
      </c>
      <c r="U190" s="14" t="s">
        <v>83</v>
      </c>
      <c r="V190" s="14" t="s">
        <v>83</v>
      </c>
    </row>
    <row r="191" spans="1:22" x14ac:dyDescent="0.35">
      <c r="A191" s="17" t="s">
        <v>299</v>
      </c>
      <c r="B191" s="17" t="s">
        <v>275</v>
      </c>
      <c r="C191" s="17" t="s">
        <v>294</v>
      </c>
      <c r="D191" s="17" t="s">
        <v>73</v>
      </c>
      <c r="E191" s="17" t="s">
        <v>105</v>
      </c>
      <c r="F191" s="18">
        <v>2.34</v>
      </c>
      <c r="G191" s="18">
        <v>1.1299999999999999</v>
      </c>
      <c r="H191" s="18">
        <v>2.64</v>
      </c>
      <c r="I191" s="19">
        <v>392962</v>
      </c>
      <c r="J191" s="19">
        <v>1037420</v>
      </c>
      <c r="K191" s="19">
        <v>299070</v>
      </c>
      <c r="L191" s="19">
        <v>738350</v>
      </c>
      <c r="M191" s="19">
        <v>59814</v>
      </c>
      <c r="N191" s="19">
        <v>113647</v>
      </c>
      <c r="O191" s="19">
        <v>35888</v>
      </c>
      <c r="P191" s="19">
        <v>89721</v>
      </c>
      <c r="Q191" s="17" t="s">
        <v>86</v>
      </c>
      <c r="R191" s="17" t="s">
        <v>76</v>
      </c>
      <c r="S191" s="17">
        <v>11</v>
      </c>
      <c r="T191" s="17" t="s">
        <v>77</v>
      </c>
      <c r="U191" s="17" t="s">
        <v>83</v>
      </c>
      <c r="V191" s="17" t="s">
        <v>83</v>
      </c>
    </row>
    <row r="192" spans="1:22" x14ac:dyDescent="0.35">
      <c r="A192" s="14" t="s">
        <v>300</v>
      </c>
      <c r="B192" s="14" t="s">
        <v>275</v>
      </c>
      <c r="C192" s="14" t="s">
        <v>294</v>
      </c>
      <c r="D192" s="14" t="s">
        <v>73</v>
      </c>
      <c r="E192" s="14" t="s">
        <v>80</v>
      </c>
      <c r="F192" s="15">
        <v>2.38</v>
      </c>
      <c r="G192" s="15">
        <v>18.04</v>
      </c>
      <c r="H192" s="15">
        <v>42.94</v>
      </c>
      <c r="I192" s="16">
        <v>107367</v>
      </c>
      <c r="J192" s="16">
        <v>4610339</v>
      </c>
      <c r="K192" s="16">
        <v>1314350</v>
      </c>
      <c r="L192" s="16">
        <v>3295989</v>
      </c>
      <c r="M192" s="16">
        <v>262870</v>
      </c>
      <c r="N192" s="16">
        <v>499453</v>
      </c>
      <c r="O192" s="16">
        <v>157722</v>
      </c>
      <c r="P192" s="16">
        <v>394305</v>
      </c>
      <c r="Q192" s="14" t="s">
        <v>90</v>
      </c>
      <c r="R192" s="14" t="s">
        <v>81</v>
      </c>
      <c r="S192" s="14">
        <v>5</v>
      </c>
      <c r="T192" s="14" t="s">
        <v>77</v>
      </c>
      <c r="U192" s="14" t="s">
        <v>83</v>
      </c>
      <c r="V192" s="14" t="s">
        <v>83</v>
      </c>
    </row>
    <row r="193" spans="1:22" x14ac:dyDescent="0.35">
      <c r="A193" s="17" t="s">
        <v>301</v>
      </c>
      <c r="B193" s="17" t="s">
        <v>275</v>
      </c>
      <c r="C193" s="17" t="s">
        <v>294</v>
      </c>
      <c r="D193" s="17" t="s">
        <v>73</v>
      </c>
      <c r="E193" s="17" t="s">
        <v>80</v>
      </c>
      <c r="F193" s="18">
        <v>1.84</v>
      </c>
      <c r="G193" s="18">
        <v>15.93</v>
      </c>
      <c r="H193" s="18">
        <v>29.31</v>
      </c>
      <c r="I193" s="19">
        <v>107211</v>
      </c>
      <c r="J193" s="19">
        <v>3142354</v>
      </c>
      <c r="K193" s="19">
        <v>1027254</v>
      </c>
      <c r="L193" s="19">
        <v>2115100</v>
      </c>
      <c r="M193" s="19">
        <v>205451</v>
      </c>
      <c r="N193" s="19">
        <v>390357</v>
      </c>
      <c r="O193" s="19">
        <v>123270</v>
      </c>
      <c r="P193" s="19">
        <v>308176</v>
      </c>
      <c r="Q193" s="17" t="s">
        <v>90</v>
      </c>
      <c r="R193" s="17" t="s">
        <v>81</v>
      </c>
      <c r="S193" s="17">
        <v>5</v>
      </c>
      <c r="T193" s="17" t="s">
        <v>82</v>
      </c>
      <c r="U193" s="17" t="s">
        <v>83</v>
      </c>
      <c r="V193" s="17" t="s">
        <v>83</v>
      </c>
    </row>
    <row r="194" spans="1:22" x14ac:dyDescent="0.35">
      <c r="A194" s="14" t="s">
        <v>302</v>
      </c>
      <c r="B194" s="14" t="s">
        <v>275</v>
      </c>
      <c r="C194" s="14" t="s">
        <v>294</v>
      </c>
      <c r="D194" s="14" t="s">
        <v>73</v>
      </c>
      <c r="E194" s="14" t="s">
        <v>85</v>
      </c>
      <c r="F194" s="15">
        <v>4.1399999999999997</v>
      </c>
      <c r="G194" s="15">
        <v>1.26</v>
      </c>
      <c r="H194" s="15">
        <v>5.22</v>
      </c>
      <c r="I194" s="16">
        <v>139014</v>
      </c>
      <c r="J194" s="16">
        <v>725653</v>
      </c>
      <c r="K194" s="16">
        <v>269043</v>
      </c>
      <c r="L194" s="16">
        <v>456610</v>
      </c>
      <c r="M194" s="16">
        <v>53809</v>
      </c>
      <c r="N194" s="16">
        <v>102236</v>
      </c>
      <c r="O194" s="16">
        <v>32285</v>
      </c>
      <c r="P194" s="16">
        <v>80713</v>
      </c>
      <c r="Q194" s="14" t="s">
        <v>75</v>
      </c>
      <c r="R194" s="14" t="s">
        <v>76</v>
      </c>
      <c r="S194" s="14">
        <v>3</v>
      </c>
      <c r="T194" s="14" t="s">
        <v>77</v>
      </c>
      <c r="U194" s="14" t="s">
        <v>83</v>
      </c>
      <c r="V194" s="14" t="s">
        <v>83</v>
      </c>
    </row>
    <row r="195" spans="1:22" x14ac:dyDescent="0.35">
      <c r="A195" s="17" t="s">
        <v>303</v>
      </c>
      <c r="B195" s="17" t="s">
        <v>275</v>
      </c>
      <c r="C195" s="17" t="s">
        <v>294</v>
      </c>
      <c r="D195" s="17" t="s">
        <v>73</v>
      </c>
      <c r="E195" s="17" t="s">
        <v>85</v>
      </c>
      <c r="F195" s="18">
        <v>1.29</v>
      </c>
      <c r="G195" s="18">
        <v>1.7</v>
      </c>
      <c r="H195" s="18">
        <v>2.19</v>
      </c>
      <c r="I195" s="19">
        <v>145485</v>
      </c>
      <c r="J195" s="19">
        <v>318612</v>
      </c>
      <c r="K195" s="19">
        <v>126100</v>
      </c>
      <c r="L195" s="19">
        <v>192512</v>
      </c>
      <c r="M195" s="19">
        <v>25220</v>
      </c>
      <c r="N195" s="19">
        <v>47918</v>
      </c>
      <c r="O195" s="19">
        <v>15132</v>
      </c>
      <c r="P195" s="19">
        <v>37830</v>
      </c>
      <c r="Q195" s="17" t="s">
        <v>75</v>
      </c>
      <c r="R195" s="17" t="s">
        <v>81</v>
      </c>
      <c r="S195" s="17">
        <v>4</v>
      </c>
      <c r="T195" s="17" t="s">
        <v>82</v>
      </c>
      <c r="U195" s="17" t="s">
        <v>78</v>
      </c>
      <c r="V195" s="17" t="s">
        <v>83</v>
      </c>
    </row>
    <row r="196" spans="1:22" x14ac:dyDescent="0.35">
      <c r="A196" s="14" t="s">
        <v>304</v>
      </c>
      <c r="B196" s="14" t="s">
        <v>275</v>
      </c>
      <c r="C196" s="14" t="s">
        <v>294</v>
      </c>
      <c r="D196" s="14" t="s">
        <v>73</v>
      </c>
      <c r="E196" s="14" t="s">
        <v>74</v>
      </c>
      <c r="F196" s="15">
        <v>2.95</v>
      </c>
      <c r="G196" s="15">
        <v>8.39</v>
      </c>
      <c r="H196" s="15">
        <v>24.75</v>
      </c>
      <c r="I196" s="16">
        <v>203535</v>
      </c>
      <c r="J196" s="16">
        <v>5037491</v>
      </c>
      <c r="K196" s="16">
        <v>1415314</v>
      </c>
      <c r="L196" s="16">
        <v>3622177</v>
      </c>
      <c r="M196" s="16">
        <v>283063</v>
      </c>
      <c r="N196" s="16">
        <v>537819</v>
      </c>
      <c r="O196" s="16">
        <v>169838</v>
      </c>
      <c r="P196" s="16">
        <v>424594</v>
      </c>
      <c r="Q196" s="14" t="s">
        <v>90</v>
      </c>
      <c r="R196" s="14" t="s">
        <v>76</v>
      </c>
      <c r="S196" s="14">
        <v>10</v>
      </c>
      <c r="T196" s="14" t="s">
        <v>77</v>
      </c>
      <c r="U196" s="14" t="s">
        <v>78</v>
      </c>
      <c r="V196" s="14" t="s">
        <v>83</v>
      </c>
    </row>
    <row r="197" spans="1:22" x14ac:dyDescent="0.35">
      <c r="A197" s="17" t="s">
        <v>305</v>
      </c>
      <c r="B197" s="17" t="s">
        <v>275</v>
      </c>
      <c r="C197" s="17" t="s">
        <v>294</v>
      </c>
      <c r="D197" s="17" t="s">
        <v>73</v>
      </c>
      <c r="E197" s="17" t="s">
        <v>85</v>
      </c>
      <c r="F197" s="18">
        <v>1.68</v>
      </c>
      <c r="G197" s="18">
        <v>1.28</v>
      </c>
      <c r="H197" s="18">
        <v>2.15</v>
      </c>
      <c r="I197" s="19">
        <v>119716</v>
      </c>
      <c r="J197" s="19">
        <v>257389</v>
      </c>
      <c r="K197" s="19">
        <v>96132</v>
      </c>
      <c r="L197" s="19">
        <v>161257</v>
      </c>
      <c r="M197" s="19">
        <v>19226</v>
      </c>
      <c r="N197" s="19">
        <v>36530</v>
      </c>
      <c r="O197" s="19">
        <v>11536</v>
      </c>
      <c r="P197" s="19">
        <v>28840</v>
      </c>
      <c r="Q197" s="17" t="s">
        <v>90</v>
      </c>
      <c r="R197" s="17" t="s">
        <v>81</v>
      </c>
      <c r="S197" s="17">
        <v>5</v>
      </c>
      <c r="T197" s="17" t="s">
        <v>82</v>
      </c>
      <c r="U197" s="17" t="s">
        <v>78</v>
      </c>
      <c r="V197" s="17" t="s">
        <v>83</v>
      </c>
    </row>
    <row r="198" spans="1:22" x14ac:dyDescent="0.35">
      <c r="A198" s="14" t="s">
        <v>306</v>
      </c>
      <c r="B198" s="14" t="s">
        <v>275</v>
      </c>
      <c r="C198" s="14" t="s">
        <v>294</v>
      </c>
      <c r="D198" s="14" t="s">
        <v>88</v>
      </c>
      <c r="E198" s="14" t="s">
        <v>93</v>
      </c>
      <c r="F198" s="15">
        <v>2.57</v>
      </c>
      <c r="G198" s="15">
        <v>1.01</v>
      </c>
      <c r="H198" s="15">
        <v>2.6</v>
      </c>
      <c r="I198" s="16">
        <v>430232</v>
      </c>
      <c r="J198" s="16">
        <v>1118603</v>
      </c>
      <c r="K198" s="16">
        <v>370768</v>
      </c>
      <c r="L198" s="16">
        <v>747835</v>
      </c>
      <c r="M198" s="16">
        <v>74154</v>
      </c>
      <c r="N198" s="16">
        <v>140892</v>
      </c>
      <c r="O198" s="16">
        <v>44492</v>
      </c>
      <c r="P198" s="16">
        <v>111230</v>
      </c>
      <c r="Q198" s="14" t="s">
        <v>86</v>
      </c>
      <c r="R198" s="14" t="s">
        <v>76</v>
      </c>
      <c r="S198" s="14">
        <v>5</v>
      </c>
      <c r="T198" s="14" t="s">
        <v>77</v>
      </c>
      <c r="U198" s="14" t="s">
        <v>78</v>
      </c>
      <c r="V198" s="14" t="s">
        <v>78</v>
      </c>
    </row>
    <row r="199" spans="1:22" x14ac:dyDescent="0.35">
      <c r="A199" s="17" t="s">
        <v>307</v>
      </c>
      <c r="B199" s="17" t="s">
        <v>275</v>
      </c>
      <c r="C199" s="17" t="s">
        <v>294</v>
      </c>
      <c r="D199" s="17" t="s">
        <v>88</v>
      </c>
      <c r="E199" s="17" t="s">
        <v>105</v>
      </c>
      <c r="F199" s="18">
        <v>1.42</v>
      </c>
      <c r="G199" s="18">
        <v>1.1399999999999999</v>
      </c>
      <c r="H199" s="18">
        <v>1.62</v>
      </c>
      <c r="I199" s="19">
        <v>416324</v>
      </c>
      <c r="J199" s="19">
        <v>674445</v>
      </c>
      <c r="K199" s="19">
        <v>239598</v>
      </c>
      <c r="L199" s="19">
        <v>434847</v>
      </c>
      <c r="M199" s="19">
        <v>47920</v>
      </c>
      <c r="N199" s="19">
        <v>91047</v>
      </c>
      <c r="O199" s="19">
        <v>28752</v>
      </c>
      <c r="P199" s="19">
        <v>71879</v>
      </c>
      <c r="Q199" s="17" t="s">
        <v>75</v>
      </c>
      <c r="R199" s="17" t="s">
        <v>76</v>
      </c>
      <c r="S199" s="17">
        <v>6</v>
      </c>
      <c r="T199" s="17" t="s">
        <v>82</v>
      </c>
      <c r="U199" s="17" t="s">
        <v>83</v>
      </c>
      <c r="V199" s="17" t="s">
        <v>83</v>
      </c>
    </row>
    <row r="200" spans="1:22" x14ac:dyDescent="0.35">
      <c r="A200" s="14" t="s">
        <v>308</v>
      </c>
      <c r="B200" s="14" t="s">
        <v>275</v>
      </c>
      <c r="C200" s="14" t="s">
        <v>294</v>
      </c>
      <c r="D200" s="14" t="s">
        <v>88</v>
      </c>
      <c r="E200" s="14" t="s">
        <v>74</v>
      </c>
      <c r="F200" s="15">
        <v>1.73</v>
      </c>
      <c r="G200" s="15">
        <v>6.63</v>
      </c>
      <c r="H200" s="15">
        <v>11.47</v>
      </c>
      <c r="I200" s="16">
        <v>202531</v>
      </c>
      <c r="J200" s="16">
        <v>2323031</v>
      </c>
      <c r="K200" s="16">
        <v>686942</v>
      </c>
      <c r="L200" s="16">
        <v>1636089</v>
      </c>
      <c r="M200" s="16">
        <v>137388</v>
      </c>
      <c r="N200" s="16">
        <v>261038</v>
      </c>
      <c r="O200" s="16">
        <v>82433</v>
      </c>
      <c r="P200" s="16">
        <v>206083</v>
      </c>
      <c r="Q200" s="14" t="s">
        <v>75</v>
      </c>
      <c r="R200" s="14" t="s">
        <v>76</v>
      </c>
      <c r="S200" s="14">
        <v>12</v>
      </c>
      <c r="T200" s="14" t="s">
        <v>82</v>
      </c>
      <c r="U200" s="14" t="s">
        <v>83</v>
      </c>
      <c r="V200" s="14" t="s">
        <v>78</v>
      </c>
    </row>
    <row r="201" spans="1:22" x14ac:dyDescent="0.35">
      <c r="A201" s="17" t="s">
        <v>309</v>
      </c>
      <c r="B201" s="17" t="s">
        <v>275</v>
      </c>
      <c r="C201" s="17" t="s">
        <v>294</v>
      </c>
      <c r="D201" s="17" t="s">
        <v>88</v>
      </c>
      <c r="E201" s="17" t="s">
        <v>116</v>
      </c>
      <c r="F201" s="18">
        <v>3.49</v>
      </c>
      <c r="G201" s="18">
        <v>1.48</v>
      </c>
      <c r="H201" s="18">
        <v>5.17</v>
      </c>
      <c r="I201" s="19">
        <v>152843</v>
      </c>
      <c r="J201" s="19">
        <v>790198</v>
      </c>
      <c r="K201" s="19">
        <v>300566</v>
      </c>
      <c r="L201" s="19">
        <v>489632</v>
      </c>
      <c r="M201" s="19">
        <v>60113</v>
      </c>
      <c r="N201" s="19">
        <v>114215</v>
      </c>
      <c r="O201" s="19">
        <v>36068</v>
      </c>
      <c r="P201" s="19">
        <v>90170</v>
      </c>
      <c r="Q201" s="17" t="s">
        <v>90</v>
      </c>
      <c r="R201" s="17" t="s">
        <v>76</v>
      </c>
      <c r="S201" s="17">
        <v>11</v>
      </c>
      <c r="T201" s="17" t="s">
        <v>77</v>
      </c>
      <c r="U201" s="17" t="s">
        <v>78</v>
      </c>
      <c r="V201" s="17" t="s">
        <v>78</v>
      </c>
    </row>
    <row r="202" spans="1:22" x14ac:dyDescent="0.35">
      <c r="A202" s="14" t="s">
        <v>310</v>
      </c>
      <c r="B202" s="14" t="s">
        <v>275</v>
      </c>
      <c r="C202" s="14" t="s">
        <v>311</v>
      </c>
      <c r="D202" s="14" t="s">
        <v>88</v>
      </c>
      <c r="E202" s="14" t="s">
        <v>116</v>
      </c>
      <c r="F202" s="15">
        <v>2.1</v>
      </c>
      <c r="G202" s="15">
        <v>1.1200000000000001</v>
      </c>
      <c r="H202" s="15">
        <v>2.35</v>
      </c>
      <c r="I202" s="16">
        <v>143363</v>
      </c>
      <c r="J202" s="16">
        <v>336903</v>
      </c>
      <c r="K202" s="16">
        <v>132392</v>
      </c>
      <c r="L202" s="16">
        <v>204511</v>
      </c>
      <c r="M202" s="16">
        <v>26478</v>
      </c>
      <c r="N202" s="16">
        <v>50309</v>
      </c>
      <c r="O202" s="16">
        <v>15887</v>
      </c>
      <c r="P202" s="16">
        <v>39718</v>
      </c>
      <c r="Q202" s="14" t="s">
        <v>75</v>
      </c>
      <c r="R202" s="14" t="s">
        <v>76</v>
      </c>
      <c r="S202" s="14">
        <v>9</v>
      </c>
      <c r="T202" s="14" t="s">
        <v>77</v>
      </c>
      <c r="U202" s="14" t="s">
        <v>78</v>
      </c>
      <c r="V202" s="14" t="s">
        <v>78</v>
      </c>
    </row>
    <row r="203" spans="1:22" x14ac:dyDescent="0.35">
      <c r="A203" s="17" t="s">
        <v>312</v>
      </c>
      <c r="B203" s="17" t="s">
        <v>275</v>
      </c>
      <c r="C203" s="17" t="s">
        <v>311</v>
      </c>
      <c r="D203" s="17" t="s">
        <v>73</v>
      </c>
      <c r="E203" s="17" t="s">
        <v>98</v>
      </c>
      <c r="F203" s="18">
        <v>0.64</v>
      </c>
      <c r="G203" s="18">
        <v>1.99</v>
      </c>
      <c r="H203" s="18">
        <v>1.27</v>
      </c>
      <c r="I203" s="19">
        <v>286812</v>
      </c>
      <c r="J203" s="19">
        <v>364251</v>
      </c>
      <c r="K203" s="19">
        <v>152686</v>
      </c>
      <c r="L203" s="19">
        <v>211565</v>
      </c>
      <c r="M203" s="19">
        <v>30537</v>
      </c>
      <c r="N203" s="19">
        <v>58021</v>
      </c>
      <c r="O203" s="19">
        <v>18322</v>
      </c>
      <c r="P203" s="19">
        <v>45806</v>
      </c>
      <c r="Q203" s="17" t="s">
        <v>86</v>
      </c>
      <c r="R203" s="17" t="s">
        <v>81</v>
      </c>
      <c r="S203" s="17">
        <v>3</v>
      </c>
      <c r="T203" s="17" t="s">
        <v>82</v>
      </c>
      <c r="U203" s="17" t="s">
        <v>78</v>
      </c>
      <c r="V203" s="17" t="s">
        <v>83</v>
      </c>
    </row>
    <row r="204" spans="1:22" x14ac:dyDescent="0.35">
      <c r="A204" s="14" t="s">
        <v>313</v>
      </c>
      <c r="B204" s="14" t="s">
        <v>275</v>
      </c>
      <c r="C204" s="14" t="s">
        <v>311</v>
      </c>
      <c r="D204" s="14" t="s">
        <v>73</v>
      </c>
      <c r="E204" s="14" t="s">
        <v>116</v>
      </c>
      <c r="F204" s="15">
        <v>3.18</v>
      </c>
      <c r="G204" s="15">
        <v>2.3199999999999998</v>
      </c>
      <c r="H204" s="15">
        <v>7.38</v>
      </c>
      <c r="I204" s="16">
        <v>151346</v>
      </c>
      <c r="J204" s="16">
        <v>1116933</v>
      </c>
      <c r="K204" s="16">
        <v>378473</v>
      </c>
      <c r="L204" s="16">
        <v>738460</v>
      </c>
      <c r="M204" s="16">
        <v>75695</v>
      </c>
      <c r="N204" s="16">
        <v>143820</v>
      </c>
      <c r="O204" s="16">
        <v>45417</v>
      </c>
      <c r="P204" s="16">
        <v>113542</v>
      </c>
      <c r="Q204" s="14" t="s">
        <v>90</v>
      </c>
      <c r="R204" s="14" t="s">
        <v>81</v>
      </c>
      <c r="S204" s="14">
        <v>9</v>
      </c>
      <c r="T204" s="14" t="s">
        <v>77</v>
      </c>
      <c r="U204" s="14" t="s">
        <v>78</v>
      </c>
      <c r="V204" s="14" t="s">
        <v>78</v>
      </c>
    </row>
    <row r="205" spans="1:22" x14ac:dyDescent="0.35">
      <c r="A205" s="17" t="s">
        <v>314</v>
      </c>
      <c r="B205" s="17" t="s">
        <v>275</v>
      </c>
      <c r="C205" s="17" t="s">
        <v>311</v>
      </c>
      <c r="D205" s="17" t="s">
        <v>73</v>
      </c>
      <c r="E205" s="17" t="s">
        <v>93</v>
      </c>
      <c r="F205" s="18">
        <v>2.46</v>
      </c>
      <c r="G205" s="18">
        <v>1</v>
      </c>
      <c r="H205" s="18">
        <v>2.46</v>
      </c>
      <c r="I205" s="19">
        <v>343346</v>
      </c>
      <c r="J205" s="19">
        <v>844631</v>
      </c>
      <c r="K205" s="19">
        <v>300027</v>
      </c>
      <c r="L205" s="19">
        <v>544604</v>
      </c>
      <c r="M205" s="19">
        <v>60005</v>
      </c>
      <c r="N205" s="19">
        <v>114010</v>
      </c>
      <c r="O205" s="19">
        <v>36003</v>
      </c>
      <c r="P205" s="19">
        <v>90008</v>
      </c>
      <c r="Q205" s="17" t="s">
        <v>75</v>
      </c>
      <c r="R205" s="17" t="s">
        <v>76</v>
      </c>
      <c r="S205" s="17">
        <v>6</v>
      </c>
      <c r="T205" s="17" t="s">
        <v>77</v>
      </c>
      <c r="U205" s="17" t="s">
        <v>78</v>
      </c>
      <c r="V205" s="17" t="s">
        <v>78</v>
      </c>
    </row>
    <row r="206" spans="1:22" x14ac:dyDescent="0.35">
      <c r="A206" s="14" t="s">
        <v>315</v>
      </c>
      <c r="B206" s="14" t="s">
        <v>275</v>
      </c>
      <c r="C206" s="14" t="s">
        <v>311</v>
      </c>
      <c r="D206" s="14" t="s">
        <v>88</v>
      </c>
      <c r="E206" s="14" t="s">
        <v>85</v>
      </c>
      <c r="F206" s="15">
        <v>3.53</v>
      </c>
      <c r="G206" s="15">
        <v>1.22</v>
      </c>
      <c r="H206" s="15">
        <v>4.3099999999999996</v>
      </c>
      <c r="I206" s="16">
        <v>131245</v>
      </c>
      <c r="J206" s="16">
        <v>565666</v>
      </c>
      <c r="K206" s="16">
        <v>223591</v>
      </c>
      <c r="L206" s="16">
        <v>342075</v>
      </c>
      <c r="M206" s="16">
        <v>44718</v>
      </c>
      <c r="N206" s="16">
        <v>84965</v>
      </c>
      <c r="O206" s="16">
        <v>26831</v>
      </c>
      <c r="P206" s="16">
        <v>67077</v>
      </c>
      <c r="Q206" s="14" t="s">
        <v>86</v>
      </c>
      <c r="R206" s="14" t="s">
        <v>81</v>
      </c>
      <c r="S206" s="14">
        <v>8</v>
      </c>
      <c r="T206" s="14" t="s">
        <v>77</v>
      </c>
      <c r="U206" s="14" t="s">
        <v>78</v>
      </c>
      <c r="V206" s="14" t="s">
        <v>83</v>
      </c>
    </row>
    <row r="207" spans="1:22" x14ac:dyDescent="0.35">
      <c r="A207" s="17" t="s">
        <v>316</v>
      </c>
      <c r="B207" s="17" t="s">
        <v>275</v>
      </c>
      <c r="C207" s="17" t="s">
        <v>311</v>
      </c>
      <c r="D207" s="17" t="s">
        <v>73</v>
      </c>
      <c r="E207" s="17" t="s">
        <v>98</v>
      </c>
      <c r="F207" s="18">
        <v>0.6</v>
      </c>
      <c r="G207" s="18">
        <v>2.41</v>
      </c>
      <c r="H207" s="18">
        <v>1.45</v>
      </c>
      <c r="I207" s="19">
        <v>341377</v>
      </c>
      <c r="J207" s="19">
        <v>494997</v>
      </c>
      <c r="K207" s="19">
        <v>203480</v>
      </c>
      <c r="L207" s="19">
        <v>291517</v>
      </c>
      <c r="M207" s="19">
        <v>40696</v>
      </c>
      <c r="N207" s="19">
        <v>77322</v>
      </c>
      <c r="O207" s="19">
        <v>24418</v>
      </c>
      <c r="P207" s="19">
        <v>61044</v>
      </c>
      <c r="Q207" s="17" t="s">
        <v>86</v>
      </c>
      <c r="R207" s="17" t="s">
        <v>76</v>
      </c>
      <c r="S207" s="17">
        <v>6</v>
      </c>
      <c r="T207" s="17" t="s">
        <v>82</v>
      </c>
      <c r="U207" s="17" t="s">
        <v>78</v>
      </c>
      <c r="V207" s="17" t="s">
        <v>78</v>
      </c>
    </row>
    <row r="208" spans="1:22" x14ac:dyDescent="0.35">
      <c r="A208" s="14" t="s">
        <v>317</v>
      </c>
      <c r="B208" s="14" t="s">
        <v>275</v>
      </c>
      <c r="C208" s="14" t="s">
        <v>311</v>
      </c>
      <c r="D208" s="14" t="s">
        <v>73</v>
      </c>
      <c r="E208" s="14" t="s">
        <v>111</v>
      </c>
      <c r="F208" s="15">
        <v>2.06</v>
      </c>
      <c r="G208" s="15">
        <v>0.99</v>
      </c>
      <c r="H208" s="15">
        <v>2.04</v>
      </c>
      <c r="I208" s="16">
        <v>544715</v>
      </c>
      <c r="J208" s="16">
        <v>1111219</v>
      </c>
      <c r="K208" s="16">
        <v>349215</v>
      </c>
      <c r="L208" s="16">
        <v>762004</v>
      </c>
      <c r="M208" s="16">
        <v>69843</v>
      </c>
      <c r="N208" s="16">
        <v>132702</v>
      </c>
      <c r="O208" s="16">
        <v>41906</v>
      </c>
      <c r="P208" s="16">
        <v>104764</v>
      </c>
      <c r="Q208" s="14" t="s">
        <v>86</v>
      </c>
      <c r="R208" s="14" t="s">
        <v>81</v>
      </c>
      <c r="S208" s="14">
        <v>10</v>
      </c>
      <c r="T208" s="14" t="s">
        <v>77</v>
      </c>
      <c r="U208" s="14" t="s">
        <v>78</v>
      </c>
      <c r="V208" s="14" t="s">
        <v>83</v>
      </c>
    </row>
    <row r="209" spans="1:22" x14ac:dyDescent="0.35">
      <c r="A209" s="17" t="s">
        <v>318</v>
      </c>
      <c r="B209" s="17" t="s">
        <v>275</v>
      </c>
      <c r="C209" s="17" t="s">
        <v>311</v>
      </c>
      <c r="D209" s="17" t="s">
        <v>73</v>
      </c>
      <c r="E209" s="17" t="s">
        <v>98</v>
      </c>
      <c r="F209" s="18">
        <v>0.92</v>
      </c>
      <c r="G209" s="18">
        <v>2.85</v>
      </c>
      <c r="H209" s="18">
        <v>2.62</v>
      </c>
      <c r="I209" s="19">
        <v>303682</v>
      </c>
      <c r="J209" s="19">
        <v>795647</v>
      </c>
      <c r="K209" s="19">
        <v>324859</v>
      </c>
      <c r="L209" s="19">
        <v>470788</v>
      </c>
      <c r="M209" s="19">
        <v>64972</v>
      </c>
      <c r="N209" s="19">
        <v>123446</v>
      </c>
      <c r="O209" s="19">
        <v>38983</v>
      </c>
      <c r="P209" s="19">
        <v>97458</v>
      </c>
      <c r="Q209" s="17" t="s">
        <v>75</v>
      </c>
      <c r="R209" s="17" t="s">
        <v>81</v>
      </c>
      <c r="S209" s="17">
        <v>12</v>
      </c>
      <c r="T209" s="17" t="s">
        <v>82</v>
      </c>
      <c r="U209" s="17" t="s">
        <v>83</v>
      </c>
      <c r="V209" s="17" t="s">
        <v>83</v>
      </c>
    </row>
    <row r="210" spans="1:22" x14ac:dyDescent="0.35">
      <c r="A210" s="14" t="s">
        <v>319</v>
      </c>
      <c r="B210" s="14" t="s">
        <v>275</v>
      </c>
      <c r="C210" s="14" t="s">
        <v>311</v>
      </c>
      <c r="D210" s="14" t="s">
        <v>73</v>
      </c>
      <c r="E210" s="14" t="s">
        <v>101</v>
      </c>
      <c r="F210" s="15">
        <v>2.16</v>
      </c>
      <c r="G210" s="15">
        <v>0.94</v>
      </c>
      <c r="H210" s="15">
        <v>2.0299999999999998</v>
      </c>
      <c r="I210" s="16">
        <v>131008</v>
      </c>
      <c r="J210" s="16">
        <v>265946</v>
      </c>
      <c r="K210" s="16">
        <v>82695</v>
      </c>
      <c r="L210" s="16">
        <v>183251</v>
      </c>
      <c r="M210" s="16">
        <v>16539</v>
      </c>
      <c r="N210" s="16">
        <v>31424</v>
      </c>
      <c r="O210" s="16">
        <v>9923</v>
      </c>
      <c r="P210" s="16">
        <v>24808</v>
      </c>
      <c r="Q210" s="14" t="s">
        <v>90</v>
      </c>
      <c r="R210" s="14" t="s">
        <v>81</v>
      </c>
      <c r="S210" s="14">
        <v>3</v>
      </c>
      <c r="T210" s="14" t="s">
        <v>77</v>
      </c>
      <c r="U210" s="14" t="s">
        <v>83</v>
      </c>
      <c r="V210" s="14" t="s">
        <v>83</v>
      </c>
    </row>
    <row r="211" spans="1:22" x14ac:dyDescent="0.35">
      <c r="A211" s="17" t="s">
        <v>320</v>
      </c>
      <c r="B211" s="17" t="s">
        <v>275</v>
      </c>
      <c r="C211" s="17" t="s">
        <v>311</v>
      </c>
      <c r="D211" s="17" t="s">
        <v>88</v>
      </c>
      <c r="E211" s="17" t="s">
        <v>116</v>
      </c>
      <c r="F211" s="18">
        <v>2.4500000000000002</v>
      </c>
      <c r="G211" s="18">
        <v>1.1100000000000001</v>
      </c>
      <c r="H211" s="18">
        <v>2.72</v>
      </c>
      <c r="I211" s="19">
        <v>138232</v>
      </c>
      <c r="J211" s="19">
        <v>375991</v>
      </c>
      <c r="K211" s="19">
        <v>139141</v>
      </c>
      <c r="L211" s="19">
        <v>236850</v>
      </c>
      <c r="M211" s="19">
        <v>27828</v>
      </c>
      <c r="N211" s="19">
        <v>52874</v>
      </c>
      <c r="O211" s="19">
        <v>16697</v>
      </c>
      <c r="P211" s="19">
        <v>41742</v>
      </c>
      <c r="Q211" s="17" t="s">
        <v>90</v>
      </c>
      <c r="R211" s="17" t="s">
        <v>81</v>
      </c>
      <c r="S211" s="17">
        <v>9</v>
      </c>
      <c r="T211" s="17" t="s">
        <v>77</v>
      </c>
      <c r="U211" s="17" t="s">
        <v>78</v>
      </c>
      <c r="V211" s="17" t="s">
        <v>78</v>
      </c>
    </row>
    <row r="212" spans="1:22" x14ac:dyDescent="0.35">
      <c r="A212" s="14" t="s">
        <v>321</v>
      </c>
      <c r="B212" s="14" t="s">
        <v>275</v>
      </c>
      <c r="C212" s="14" t="s">
        <v>311</v>
      </c>
      <c r="D212" s="14" t="s">
        <v>88</v>
      </c>
      <c r="E212" s="14" t="s">
        <v>85</v>
      </c>
      <c r="F212" s="15">
        <v>1.33</v>
      </c>
      <c r="G212" s="15">
        <v>1.22</v>
      </c>
      <c r="H212" s="15">
        <v>1.62</v>
      </c>
      <c r="I212" s="16">
        <v>119898</v>
      </c>
      <c r="J212" s="16">
        <v>194235</v>
      </c>
      <c r="K212" s="16">
        <v>60514</v>
      </c>
      <c r="L212" s="16">
        <v>133721</v>
      </c>
      <c r="M212" s="16">
        <v>12103</v>
      </c>
      <c r="N212" s="16">
        <v>22995</v>
      </c>
      <c r="O212" s="16">
        <v>7262</v>
      </c>
      <c r="P212" s="16">
        <v>18154</v>
      </c>
      <c r="Q212" s="14" t="s">
        <v>75</v>
      </c>
      <c r="R212" s="14" t="s">
        <v>76</v>
      </c>
      <c r="S212" s="14">
        <v>10</v>
      </c>
      <c r="T212" s="14" t="s">
        <v>82</v>
      </c>
      <c r="U212" s="14" t="s">
        <v>78</v>
      </c>
      <c r="V212" s="14" t="s">
        <v>83</v>
      </c>
    </row>
    <row r="213" spans="1:22" x14ac:dyDescent="0.35">
      <c r="A213" s="17" t="s">
        <v>322</v>
      </c>
      <c r="B213" s="17" t="s">
        <v>275</v>
      </c>
      <c r="C213" s="17" t="s">
        <v>311</v>
      </c>
      <c r="D213" s="17" t="s">
        <v>88</v>
      </c>
      <c r="E213" s="17" t="s">
        <v>96</v>
      </c>
      <c r="F213" s="18">
        <v>1.53</v>
      </c>
      <c r="G213" s="18">
        <v>0.46</v>
      </c>
      <c r="H213" s="18">
        <v>0.7</v>
      </c>
      <c r="I213" s="19">
        <v>359914</v>
      </c>
      <c r="J213" s="19">
        <v>251940</v>
      </c>
      <c r="K213" s="19">
        <v>77715</v>
      </c>
      <c r="L213" s="19">
        <v>174225</v>
      </c>
      <c r="M213" s="19">
        <v>15543</v>
      </c>
      <c r="N213" s="19">
        <v>29532</v>
      </c>
      <c r="O213" s="19">
        <v>9326</v>
      </c>
      <c r="P213" s="19">
        <v>23314</v>
      </c>
      <c r="Q213" s="17" t="s">
        <v>75</v>
      </c>
      <c r="R213" s="17" t="s">
        <v>76</v>
      </c>
      <c r="S213" s="17">
        <v>10</v>
      </c>
      <c r="T213" s="17" t="s">
        <v>82</v>
      </c>
      <c r="U213" s="17" t="s">
        <v>78</v>
      </c>
      <c r="V213" s="17" t="s">
        <v>78</v>
      </c>
    </row>
    <row r="214" spans="1:22" x14ac:dyDescent="0.35">
      <c r="A214" s="14" t="s">
        <v>323</v>
      </c>
      <c r="B214" s="14" t="s">
        <v>275</v>
      </c>
      <c r="C214" s="14" t="s">
        <v>311</v>
      </c>
      <c r="D214" s="14" t="s">
        <v>73</v>
      </c>
      <c r="E214" s="14" t="s">
        <v>93</v>
      </c>
      <c r="F214" s="15">
        <v>0.65</v>
      </c>
      <c r="G214" s="15">
        <v>1.02</v>
      </c>
      <c r="H214" s="15">
        <v>0.66</v>
      </c>
      <c r="I214" s="16">
        <v>391967</v>
      </c>
      <c r="J214" s="16">
        <v>258698</v>
      </c>
      <c r="K214" s="16">
        <v>73868</v>
      </c>
      <c r="L214" s="16">
        <v>184830</v>
      </c>
      <c r="M214" s="16">
        <v>14774</v>
      </c>
      <c r="N214" s="16">
        <v>28070</v>
      </c>
      <c r="O214" s="16">
        <v>8864</v>
      </c>
      <c r="P214" s="16">
        <v>22160</v>
      </c>
      <c r="Q214" s="14" t="s">
        <v>86</v>
      </c>
      <c r="R214" s="14" t="s">
        <v>76</v>
      </c>
      <c r="S214" s="14">
        <v>12</v>
      </c>
      <c r="T214" s="14" t="s">
        <v>82</v>
      </c>
      <c r="U214" s="14" t="s">
        <v>83</v>
      </c>
      <c r="V214" s="14" t="s">
        <v>83</v>
      </c>
    </row>
    <row r="215" spans="1:22" x14ac:dyDescent="0.35">
      <c r="A215" s="17" t="s">
        <v>324</v>
      </c>
      <c r="B215" s="17" t="s">
        <v>275</v>
      </c>
      <c r="C215" s="17" t="s">
        <v>311</v>
      </c>
      <c r="D215" s="17" t="s">
        <v>73</v>
      </c>
      <c r="E215" s="17" t="s">
        <v>93</v>
      </c>
      <c r="F215" s="18">
        <v>1.94</v>
      </c>
      <c r="G215" s="18">
        <v>1.34</v>
      </c>
      <c r="H215" s="18">
        <v>2.6</v>
      </c>
      <c r="I215" s="19">
        <v>360958</v>
      </c>
      <c r="J215" s="19">
        <v>938491</v>
      </c>
      <c r="K215" s="19">
        <v>388519</v>
      </c>
      <c r="L215" s="19">
        <v>549972</v>
      </c>
      <c r="M215" s="19">
        <v>77704</v>
      </c>
      <c r="N215" s="19">
        <v>147637</v>
      </c>
      <c r="O215" s="19">
        <v>46622</v>
      </c>
      <c r="P215" s="19">
        <v>116556</v>
      </c>
      <c r="Q215" s="17" t="s">
        <v>86</v>
      </c>
      <c r="R215" s="17" t="s">
        <v>76</v>
      </c>
      <c r="S215" s="17">
        <v>6</v>
      </c>
      <c r="T215" s="17" t="s">
        <v>82</v>
      </c>
      <c r="U215" s="17" t="s">
        <v>83</v>
      </c>
      <c r="V215" s="17" t="s">
        <v>78</v>
      </c>
    </row>
    <row r="216" spans="1:22" x14ac:dyDescent="0.35">
      <c r="A216" s="14" t="s">
        <v>325</v>
      </c>
      <c r="B216" s="14" t="s">
        <v>275</v>
      </c>
      <c r="C216" s="14" t="s">
        <v>311</v>
      </c>
      <c r="D216" s="14" t="s">
        <v>73</v>
      </c>
      <c r="E216" s="14" t="s">
        <v>105</v>
      </c>
      <c r="F216" s="15">
        <v>2.1800000000000002</v>
      </c>
      <c r="G216" s="15">
        <v>1.46</v>
      </c>
      <c r="H216" s="15">
        <v>3.18</v>
      </c>
      <c r="I216" s="16">
        <v>406976</v>
      </c>
      <c r="J216" s="16">
        <v>1294184</v>
      </c>
      <c r="K216" s="16">
        <v>405735</v>
      </c>
      <c r="L216" s="16">
        <v>888449</v>
      </c>
      <c r="M216" s="16">
        <v>81147</v>
      </c>
      <c r="N216" s="16">
        <v>154179</v>
      </c>
      <c r="O216" s="16">
        <v>48688</v>
      </c>
      <c r="P216" s="16">
        <v>121720</v>
      </c>
      <c r="Q216" s="14" t="s">
        <v>90</v>
      </c>
      <c r="R216" s="14" t="s">
        <v>81</v>
      </c>
      <c r="S216" s="14">
        <v>9</v>
      </c>
      <c r="T216" s="14" t="s">
        <v>77</v>
      </c>
      <c r="U216" s="14" t="s">
        <v>78</v>
      </c>
      <c r="V216" s="14" t="s">
        <v>83</v>
      </c>
    </row>
    <row r="217" spans="1:22" x14ac:dyDescent="0.35">
      <c r="A217" s="17" t="s">
        <v>326</v>
      </c>
      <c r="B217" s="17" t="s">
        <v>275</v>
      </c>
      <c r="C217" s="17" t="s">
        <v>327</v>
      </c>
      <c r="D217" s="17" t="s">
        <v>88</v>
      </c>
      <c r="E217" s="17" t="s">
        <v>101</v>
      </c>
      <c r="F217" s="18">
        <v>1.94</v>
      </c>
      <c r="G217" s="18">
        <v>1.03</v>
      </c>
      <c r="H217" s="18">
        <v>2</v>
      </c>
      <c r="I217" s="19">
        <v>124898</v>
      </c>
      <c r="J217" s="19">
        <v>249796</v>
      </c>
      <c r="K217" s="19">
        <v>73391</v>
      </c>
      <c r="L217" s="19">
        <v>176405</v>
      </c>
      <c r="M217" s="19">
        <v>14678</v>
      </c>
      <c r="N217" s="19">
        <v>27889</v>
      </c>
      <c r="O217" s="19">
        <v>8807</v>
      </c>
      <c r="P217" s="19">
        <v>22017</v>
      </c>
      <c r="Q217" s="17" t="s">
        <v>75</v>
      </c>
      <c r="R217" s="17" t="s">
        <v>81</v>
      </c>
      <c r="S217" s="17">
        <v>8</v>
      </c>
      <c r="T217" s="17" t="s">
        <v>82</v>
      </c>
      <c r="U217" s="17" t="s">
        <v>78</v>
      </c>
      <c r="V217" s="17" t="s">
        <v>83</v>
      </c>
    </row>
    <row r="218" spans="1:22" x14ac:dyDescent="0.35">
      <c r="A218" s="14" t="s">
        <v>328</v>
      </c>
      <c r="B218" s="14" t="s">
        <v>275</v>
      </c>
      <c r="C218" s="14" t="s">
        <v>327</v>
      </c>
      <c r="D218" s="14" t="s">
        <v>88</v>
      </c>
      <c r="E218" s="14" t="s">
        <v>101</v>
      </c>
      <c r="F218" s="15">
        <v>0.75</v>
      </c>
      <c r="G218" s="15">
        <v>1.24</v>
      </c>
      <c r="H218" s="15">
        <v>0.93</v>
      </c>
      <c r="I218" s="16">
        <v>134047</v>
      </c>
      <c r="J218" s="16">
        <v>124664</v>
      </c>
      <c r="K218" s="16">
        <v>35189</v>
      </c>
      <c r="L218" s="16">
        <v>89475</v>
      </c>
      <c r="M218" s="16">
        <v>7038</v>
      </c>
      <c r="N218" s="16">
        <v>13372</v>
      </c>
      <c r="O218" s="16">
        <v>4223</v>
      </c>
      <c r="P218" s="16">
        <v>10557</v>
      </c>
      <c r="Q218" s="14" t="s">
        <v>75</v>
      </c>
      <c r="R218" s="14" t="s">
        <v>81</v>
      </c>
      <c r="S218" s="14">
        <v>7</v>
      </c>
      <c r="T218" s="14" t="s">
        <v>82</v>
      </c>
      <c r="U218" s="14" t="s">
        <v>78</v>
      </c>
      <c r="V218" s="14" t="s">
        <v>78</v>
      </c>
    </row>
    <row r="219" spans="1:22" x14ac:dyDescent="0.35">
      <c r="A219" s="17" t="s">
        <v>329</v>
      </c>
      <c r="B219" s="17" t="s">
        <v>275</v>
      </c>
      <c r="C219" s="17" t="s">
        <v>327</v>
      </c>
      <c r="D219" s="17" t="s">
        <v>73</v>
      </c>
      <c r="E219" s="17" t="s">
        <v>101</v>
      </c>
      <c r="F219" s="18">
        <v>2.59</v>
      </c>
      <c r="G219" s="18">
        <v>1.44</v>
      </c>
      <c r="H219" s="18">
        <v>3.73</v>
      </c>
      <c r="I219" s="19">
        <v>124974</v>
      </c>
      <c r="J219" s="19">
        <v>466153</v>
      </c>
      <c r="K219" s="19">
        <v>173243</v>
      </c>
      <c r="L219" s="19">
        <v>292910</v>
      </c>
      <c r="M219" s="19">
        <v>34649</v>
      </c>
      <c r="N219" s="19">
        <v>65832</v>
      </c>
      <c r="O219" s="19">
        <v>20789</v>
      </c>
      <c r="P219" s="19">
        <v>51973</v>
      </c>
      <c r="Q219" s="17" t="s">
        <v>75</v>
      </c>
      <c r="R219" s="17" t="s">
        <v>81</v>
      </c>
      <c r="S219" s="17">
        <v>7</v>
      </c>
      <c r="T219" s="17" t="s">
        <v>77</v>
      </c>
      <c r="U219" s="17" t="s">
        <v>78</v>
      </c>
      <c r="V219" s="17" t="s">
        <v>83</v>
      </c>
    </row>
    <row r="220" spans="1:22" x14ac:dyDescent="0.35">
      <c r="A220" s="14" t="s">
        <v>330</v>
      </c>
      <c r="B220" s="14" t="s">
        <v>275</v>
      </c>
      <c r="C220" s="14" t="s">
        <v>327</v>
      </c>
      <c r="D220" s="14" t="s">
        <v>88</v>
      </c>
      <c r="E220" s="14" t="s">
        <v>105</v>
      </c>
      <c r="F220" s="15">
        <v>0.75</v>
      </c>
      <c r="G220" s="15">
        <v>1.3</v>
      </c>
      <c r="H220" s="15">
        <v>0.98</v>
      </c>
      <c r="I220" s="16">
        <v>378327</v>
      </c>
      <c r="J220" s="16">
        <v>370760</v>
      </c>
      <c r="K220" s="16">
        <v>141202</v>
      </c>
      <c r="L220" s="16">
        <v>229558</v>
      </c>
      <c r="M220" s="16">
        <v>28240</v>
      </c>
      <c r="N220" s="16">
        <v>53657</v>
      </c>
      <c r="O220" s="16">
        <v>16944</v>
      </c>
      <c r="P220" s="16">
        <v>42361</v>
      </c>
      <c r="Q220" s="14" t="s">
        <v>90</v>
      </c>
      <c r="R220" s="14" t="s">
        <v>76</v>
      </c>
      <c r="S220" s="14">
        <v>11</v>
      </c>
      <c r="T220" s="14" t="s">
        <v>82</v>
      </c>
      <c r="U220" s="14" t="s">
        <v>83</v>
      </c>
      <c r="V220" s="14" t="s">
        <v>78</v>
      </c>
    </row>
    <row r="221" spans="1:22" x14ac:dyDescent="0.35">
      <c r="A221" s="17" t="s">
        <v>331</v>
      </c>
      <c r="B221" s="17" t="s">
        <v>275</v>
      </c>
      <c r="C221" s="17" t="s">
        <v>327</v>
      </c>
      <c r="D221" s="17" t="s">
        <v>73</v>
      </c>
      <c r="E221" s="17" t="s">
        <v>93</v>
      </c>
      <c r="F221" s="18">
        <v>3.02</v>
      </c>
      <c r="G221" s="18">
        <v>0.82</v>
      </c>
      <c r="H221" s="18">
        <v>2.48</v>
      </c>
      <c r="I221" s="19">
        <v>416252</v>
      </c>
      <c r="J221" s="19">
        <v>1032305</v>
      </c>
      <c r="K221" s="19">
        <v>296057</v>
      </c>
      <c r="L221" s="19">
        <v>736248</v>
      </c>
      <c r="M221" s="19">
        <v>59211</v>
      </c>
      <c r="N221" s="19">
        <v>112502</v>
      </c>
      <c r="O221" s="19">
        <v>35527</v>
      </c>
      <c r="P221" s="19">
        <v>88817</v>
      </c>
      <c r="Q221" s="17" t="s">
        <v>86</v>
      </c>
      <c r="R221" s="17" t="s">
        <v>81</v>
      </c>
      <c r="S221" s="17">
        <v>5</v>
      </c>
      <c r="T221" s="17" t="s">
        <v>77</v>
      </c>
      <c r="U221" s="17" t="s">
        <v>83</v>
      </c>
      <c r="V221" s="17" t="s">
        <v>78</v>
      </c>
    </row>
    <row r="222" spans="1:22" x14ac:dyDescent="0.35">
      <c r="A222" s="14" t="s">
        <v>332</v>
      </c>
      <c r="B222" s="14" t="s">
        <v>275</v>
      </c>
      <c r="C222" s="14" t="s">
        <v>327</v>
      </c>
      <c r="D222" s="14" t="s">
        <v>73</v>
      </c>
      <c r="E222" s="14" t="s">
        <v>74</v>
      </c>
      <c r="F222" s="15">
        <v>0.32</v>
      </c>
      <c r="G222" s="15">
        <v>8.5299999999999994</v>
      </c>
      <c r="H222" s="15">
        <v>2.73</v>
      </c>
      <c r="I222" s="16">
        <v>173153</v>
      </c>
      <c r="J222" s="16">
        <v>472708</v>
      </c>
      <c r="K222" s="16">
        <v>173246</v>
      </c>
      <c r="L222" s="16">
        <v>299462</v>
      </c>
      <c r="M222" s="16">
        <v>34649</v>
      </c>
      <c r="N222" s="16">
        <v>65833</v>
      </c>
      <c r="O222" s="16">
        <v>20790</v>
      </c>
      <c r="P222" s="16">
        <v>51974</v>
      </c>
      <c r="Q222" s="14" t="s">
        <v>75</v>
      </c>
      <c r="R222" s="14" t="s">
        <v>81</v>
      </c>
      <c r="S222" s="14">
        <v>10</v>
      </c>
      <c r="T222" s="14" t="s">
        <v>82</v>
      </c>
      <c r="U222" s="14" t="s">
        <v>78</v>
      </c>
      <c r="V222" s="14" t="s">
        <v>78</v>
      </c>
    </row>
    <row r="223" spans="1:22" x14ac:dyDescent="0.35">
      <c r="A223" s="17" t="s">
        <v>333</v>
      </c>
      <c r="B223" s="17" t="s">
        <v>275</v>
      </c>
      <c r="C223" s="17" t="s">
        <v>327</v>
      </c>
      <c r="D223" s="17" t="s">
        <v>88</v>
      </c>
      <c r="E223" s="17" t="s">
        <v>93</v>
      </c>
      <c r="F223" s="18">
        <v>0.54</v>
      </c>
      <c r="G223" s="18">
        <v>0.95</v>
      </c>
      <c r="H223" s="18">
        <v>0.51</v>
      </c>
      <c r="I223" s="19">
        <v>354320</v>
      </c>
      <c r="J223" s="19">
        <v>180703</v>
      </c>
      <c r="K223" s="19">
        <v>75326</v>
      </c>
      <c r="L223" s="19">
        <v>105377</v>
      </c>
      <c r="M223" s="19">
        <v>15065</v>
      </c>
      <c r="N223" s="19">
        <v>28624</v>
      </c>
      <c r="O223" s="19">
        <v>9039</v>
      </c>
      <c r="P223" s="19">
        <v>22598</v>
      </c>
      <c r="Q223" s="17" t="s">
        <v>86</v>
      </c>
      <c r="R223" s="17" t="s">
        <v>81</v>
      </c>
      <c r="S223" s="17">
        <v>5</v>
      </c>
      <c r="T223" s="17" t="s">
        <v>82</v>
      </c>
      <c r="U223" s="17" t="s">
        <v>78</v>
      </c>
      <c r="V223" s="17" t="s">
        <v>78</v>
      </c>
    </row>
    <row r="224" spans="1:22" x14ac:dyDescent="0.35">
      <c r="A224" s="14" t="s">
        <v>334</v>
      </c>
      <c r="B224" s="14" t="s">
        <v>275</v>
      </c>
      <c r="C224" s="14" t="s">
        <v>327</v>
      </c>
      <c r="D224" s="14" t="s">
        <v>73</v>
      </c>
      <c r="E224" s="14" t="s">
        <v>93</v>
      </c>
      <c r="F224" s="15">
        <v>1.22</v>
      </c>
      <c r="G224" s="15">
        <v>1.18</v>
      </c>
      <c r="H224" s="15">
        <v>1.44</v>
      </c>
      <c r="I224" s="16">
        <v>351776</v>
      </c>
      <c r="J224" s="16">
        <v>506557</v>
      </c>
      <c r="K224" s="16">
        <v>166972</v>
      </c>
      <c r="L224" s="16">
        <v>339585</v>
      </c>
      <c r="M224" s="16">
        <v>33394</v>
      </c>
      <c r="N224" s="16">
        <v>63449</v>
      </c>
      <c r="O224" s="16">
        <v>20037</v>
      </c>
      <c r="P224" s="16">
        <v>50092</v>
      </c>
      <c r="Q224" s="14" t="s">
        <v>90</v>
      </c>
      <c r="R224" s="14" t="s">
        <v>76</v>
      </c>
      <c r="S224" s="14">
        <v>8</v>
      </c>
      <c r="T224" s="14" t="s">
        <v>82</v>
      </c>
      <c r="U224" s="14" t="s">
        <v>78</v>
      </c>
      <c r="V224" s="14" t="s">
        <v>83</v>
      </c>
    </row>
    <row r="225" spans="1:22" x14ac:dyDescent="0.35">
      <c r="A225" s="17" t="s">
        <v>335</v>
      </c>
      <c r="B225" s="17" t="s">
        <v>275</v>
      </c>
      <c r="C225" s="17" t="s">
        <v>327</v>
      </c>
      <c r="D225" s="17" t="s">
        <v>73</v>
      </c>
      <c r="E225" s="17" t="s">
        <v>111</v>
      </c>
      <c r="F225" s="18">
        <v>3.97</v>
      </c>
      <c r="G225" s="18">
        <v>0.75</v>
      </c>
      <c r="H225" s="18">
        <v>2.98</v>
      </c>
      <c r="I225" s="19">
        <v>517054</v>
      </c>
      <c r="J225" s="19">
        <v>1540821</v>
      </c>
      <c r="K225" s="19">
        <v>614327</v>
      </c>
      <c r="L225" s="19">
        <v>926494</v>
      </c>
      <c r="M225" s="19">
        <v>122865</v>
      </c>
      <c r="N225" s="19">
        <v>233444</v>
      </c>
      <c r="O225" s="19">
        <v>73719</v>
      </c>
      <c r="P225" s="19">
        <v>184298</v>
      </c>
      <c r="Q225" s="17" t="s">
        <v>75</v>
      </c>
      <c r="R225" s="17" t="s">
        <v>76</v>
      </c>
      <c r="S225" s="17">
        <v>4</v>
      </c>
      <c r="T225" s="17" t="s">
        <v>77</v>
      </c>
      <c r="U225" s="17" t="s">
        <v>78</v>
      </c>
      <c r="V225" s="17" t="s">
        <v>83</v>
      </c>
    </row>
    <row r="226" spans="1:22" x14ac:dyDescent="0.35">
      <c r="A226" s="14" t="s">
        <v>336</v>
      </c>
      <c r="B226" s="14" t="s">
        <v>275</v>
      </c>
      <c r="C226" s="14" t="s">
        <v>327</v>
      </c>
      <c r="D226" s="14" t="s">
        <v>88</v>
      </c>
      <c r="E226" s="14" t="s">
        <v>96</v>
      </c>
      <c r="F226" s="15">
        <v>0.42</v>
      </c>
      <c r="G226" s="15">
        <v>0.42</v>
      </c>
      <c r="H226" s="15">
        <v>0.18</v>
      </c>
      <c r="I226" s="16">
        <v>351552</v>
      </c>
      <c r="J226" s="16">
        <v>63279</v>
      </c>
      <c r="K226" s="16">
        <v>22146</v>
      </c>
      <c r="L226" s="16">
        <v>41133</v>
      </c>
      <c r="M226" s="16">
        <v>4429</v>
      </c>
      <c r="N226" s="16">
        <v>8415</v>
      </c>
      <c r="O226" s="16">
        <v>2658</v>
      </c>
      <c r="P226" s="16">
        <v>6644</v>
      </c>
      <c r="Q226" s="14" t="s">
        <v>90</v>
      </c>
      <c r="R226" s="14" t="s">
        <v>81</v>
      </c>
      <c r="S226" s="14">
        <v>12</v>
      </c>
      <c r="T226" s="14" t="s">
        <v>82</v>
      </c>
      <c r="U226" s="14" t="s">
        <v>78</v>
      </c>
      <c r="V226" s="14" t="s">
        <v>83</v>
      </c>
    </row>
    <row r="227" spans="1:22" x14ac:dyDescent="0.35">
      <c r="A227" s="17" t="s">
        <v>337</v>
      </c>
      <c r="B227" s="17" t="s">
        <v>275</v>
      </c>
      <c r="C227" s="17" t="s">
        <v>327</v>
      </c>
      <c r="D227" s="17" t="s">
        <v>73</v>
      </c>
      <c r="E227" s="17" t="s">
        <v>80</v>
      </c>
      <c r="F227" s="18">
        <v>1.45</v>
      </c>
      <c r="G227" s="18">
        <v>18.309999999999999</v>
      </c>
      <c r="H227" s="18">
        <v>26.55</v>
      </c>
      <c r="I227" s="19">
        <v>106045</v>
      </c>
      <c r="J227" s="19">
        <v>2815495</v>
      </c>
      <c r="K227" s="19">
        <v>975766</v>
      </c>
      <c r="L227" s="19">
        <v>1839729</v>
      </c>
      <c r="M227" s="19">
        <v>195153</v>
      </c>
      <c r="N227" s="19">
        <v>370791</v>
      </c>
      <c r="O227" s="19">
        <v>117092</v>
      </c>
      <c r="P227" s="19">
        <v>292730</v>
      </c>
      <c r="Q227" s="17" t="s">
        <v>86</v>
      </c>
      <c r="R227" s="17" t="s">
        <v>76</v>
      </c>
      <c r="S227" s="17">
        <v>7</v>
      </c>
      <c r="T227" s="17" t="s">
        <v>82</v>
      </c>
      <c r="U227" s="17" t="s">
        <v>83</v>
      </c>
      <c r="V227" s="17" t="s">
        <v>83</v>
      </c>
    </row>
    <row r="228" spans="1:22" x14ac:dyDescent="0.35">
      <c r="A228" s="14" t="s">
        <v>338</v>
      </c>
      <c r="B228" s="14" t="s">
        <v>275</v>
      </c>
      <c r="C228" s="14" t="s">
        <v>327</v>
      </c>
      <c r="D228" s="14" t="s">
        <v>73</v>
      </c>
      <c r="E228" s="14" t="s">
        <v>80</v>
      </c>
      <c r="F228" s="15">
        <v>4.68</v>
      </c>
      <c r="G228" s="15">
        <v>13.33</v>
      </c>
      <c r="H228" s="15">
        <v>62.38</v>
      </c>
      <c r="I228" s="16">
        <v>108152</v>
      </c>
      <c r="J228" s="16">
        <v>6746522</v>
      </c>
      <c r="K228" s="16">
        <v>2443489</v>
      </c>
      <c r="L228" s="16">
        <v>4303033</v>
      </c>
      <c r="M228" s="16">
        <v>488698</v>
      </c>
      <c r="N228" s="16">
        <v>928526</v>
      </c>
      <c r="O228" s="16">
        <v>293219</v>
      </c>
      <c r="P228" s="16">
        <v>733047</v>
      </c>
      <c r="Q228" s="14" t="s">
        <v>75</v>
      </c>
      <c r="R228" s="14" t="s">
        <v>81</v>
      </c>
      <c r="S228" s="14">
        <v>4</v>
      </c>
      <c r="T228" s="14" t="s">
        <v>77</v>
      </c>
      <c r="U228" s="14" t="s">
        <v>78</v>
      </c>
      <c r="V228" s="14" t="s">
        <v>78</v>
      </c>
    </row>
    <row r="229" spans="1:22" x14ac:dyDescent="0.35">
      <c r="A229" s="17" t="s">
        <v>339</v>
      </c>
      <c r="B229" s="17" t="s">
        <v>275</v>
      </c>
      <c r="C229" s="17" t="s">
        <v>327</v>
      </c>
      <c r="D229" s="17" t="s">
        <v>73</v>
      </c>
      <c r="E229" s="17" t="s">
        <v>111</v>
      </c>
      <c r="F229" s="18">
        <v>2.48</v>
      </c>
      <c r="G229" s="18">
        <v>1.0900000000000001</v>
      </c>
      <c r="H229" s="18">
        <v>2.7</v>
      </c>
      <c r="I229" s="19">
        <v>516024</v>
      </c>
      <c r="J229" s="19">
        <v>1393265</v>
      </c>
      <c r="K229" s="19">
        <v>495555</v>
      </c>
      <c r="L229" s="19">
        <v>897710</v>
      </c>
      <c r="M229" s="19">
        <v>99111</v>
      </c>
      <c r="N229" s="19">
        <v>188311</v>
      </c>
      <c r="O229" s="19">
        <v>59467</v>
      </c>
      <c r="P229" s="19">
        <v>148666</v>
      </c>
      <c r="Q229" s="17" t="s">
        <v>90</v>
      </c>
      <c r="R229" s="17" t="s">
        <v>76</v>
      </c>
      <c r="S229" s="17">
        <v>4</v>
      </c>
      <c r="T229" s="17" t="s">
        <v>77</v>
      </c>
      <c r="U229" s="17" t="s">
        <v>83</v>
      </c>
      <c r="V229" s="17" t="s">
        <v>83</v>
      </c>
    </row>
    <row r="230" spans="1:22" x14ac:dyDescent="0.35">
      <c r="A230" s="14" t="s">
        <v>340</v>
      </c>
      <c r="B230" s="14" t="s">
        <v>275</v>
      </c>
      <c r="C230" s="14" t="s">
        <v>327</v>
      </c>
      <c r="D230" s="14" t="s">
        <v>73</v>
      </c>
      <c r="E230" s="14" t="s">
        <v>101</v>
      </c>
      <c r="F230" s="15">
        <v>1.04</v>
      </c>
      <c r="G230" s="15">
        <v>1.01</v>
      </c>
      <c r="H230" s="15">
        <v>1.05</v>
      </c>
      <c r="I230" s="16">
        <v>109101</v>
      </c>
      <c r="J230" s="16">
        <v>114556</v>
      </c>
      <c r="K230" s="16">
        <v>41781</v>
      </c>
      <c r="L230" s="16">
        <v>72775</v>
      </c>
      <c r="M230" s="16">
        <v>8356</v>
      </c>
      <c r="N230" s="16">
        <v>15877</v>
      </c>
      <c r="O230" s="16">
        <v>5014</v>
      </c>
      <c r="P230" s="16">
        <v>12534</v>
      </c>
      <c r="Q230" s="14" t="s">
        <v>75</v>
      </c>
      <c r="R230" s="14" t="s">
        <v>81</v>
      </c>
      <c r="S230" s="14">
        <v>8</v>
      </c>
      <c r="T230" s="14" t="s">
        <v>82</v>
      </c>
      <c r="U230" s="14" t="s">
        <v>78</v>
      </c>
      <c r="V230" s="14" t="s">
        <v>83</v>
      </c>
    </row>
    <row r="231" spans="1:22" x14ac:dyDescent="0.35">
      <c r="A231" s="17" t="s">
        <v>341</v>
      </c>
      <c r="B231" s="17" t="s">
        <v>275</v>
      </c>
      <c r="C231" s="17" t="s">
        <v>327</v>
      </c>
      <c r="D231" s="17" t="s">
        <v>88</v>
      </c>
      <c r="E231" s="17" t="s">
        <v>85</v>
      </c>
      <c r="F231" s="18">
        <v>2.71</v>
      </c>
      <c r="G231" s="18">
        <v>1.0900000000000001</v>
      </c>
      <c r="H231" s="18">
        <v>2.95</v>
      </c>
      <c r="I231" s="19">
        <v>147205</v>
      </c>
      <c r="J231" s="19">
        <v>434255</v>
      </c>
      <c r="K231" s="19">
        <v>147846</v>
      </c>
      <c r="L231" s="19">
        <v>286409</v>
      </c>
      <c r="M231" s="19">
        <v>29569</v>
      </c>
      <c r="N231" s="19">
        <v>56181</v>
      </c>
      <c r="O231" s="19">
        <v>17742</v>
      </c>
      <c r="P231" s="19">
        <v>44354</v>
      </c>
      <c r="Q231" s="17" t="s">
        <v>75</v>
      </c>
      <c r="R231" s="17" t="s">
        <v>81</v>
      </c>
      <c r="S231" s="17">
        <v>4</v>
      </c>
      <c r="T231" s="17" t="s">
        <v>77</v>
      </c>
      <c r="U231" s="17" t="s">
        <v>83</v>
      </c>
      <c r="V231" s="17" t="s">
        <v>83</v>
      </c>
    </row>
    <row r="232" spans="1:22" x14ac:dyDescent="0.35">
      <c r="A232" s="14" t="s">
        <v>342</v>
      </c>
      <c r="B232" s="14" t="s">
        <v>275</v>
      </c>
      <c r="C232" s="14" t="s">
        <v>327</v>
      </c>
      <c r="D232" s="14" t="s">
        <v>73</v>
      </c>
      <c r="E232" s="14" t="s">
        <v>98</v>
      </c>
      <c r="F232" s="15">
        <v>0.75</v>
      </c>
      <c r="G232" s="15">
        <v>1.74</v>
      </c>
      <c r="H232" s="15">
        <v>1.3</v>
      </c>
      <c r="I232" s="16">
        <v>350956</v>
      </c>
      <c r="J232" s="16">
        <v>456243</v>
      </c>
      <c r="K232" s="16">
        <v>168238</v>
      </c>
      <c r="L232" s="16">
        <v>288005</v>
      </c>
      <c r="M232" s="16">
        <v>33648</v>
      </c>
      <c r="N232" s="16">
        <v>63930</v>
      </c>
      <c r="O232" s="16">
        <v>20189</v>
      </c>
      <c r="P232" s="16">
        <v>50471</v>
      </c>
      <c r="Q232" s="14" t="s">
        <v>75</v>
      </c>
      <c r="R232" s="14" t="s">
        <v>81</v>
      </c>
      <c r="S232" s="14">
        <v>8</v>
      </c>
      <c r="T232" s="14" t="s">
        <v>82</v>
      </c>
      <c r="U232" s="14" t="s">
        <v>78</v>
      </c>
      <c r="V232" s="14" t="s">
        <v>78</v>
      </c>
    </row>
    <row r="233" spans="1:22" x14ac:dyDescent="0.35">
      <c r="A233" s="17" t="s">
        <v>343</v>
      </c>
      <c r="B233" s="17" t="s">
        <v>275</v>
      </c>
      <c r="C233" s="17" t="s">
        <v>327</v>
      </c>
      <c r="D233" s="17" t="s">
        <v>73</v>
      </c>
      <c r="E233" s="17" t="s">
        <v>74</v>
      </c>
      <c r="F233" s="18">
        <v>2.85</v>
      </c>
      <c r="G233" s="18">
        <v>8.2200000000000006</v>
      </c>
      <c r="H233" s="18">
        <v>23.43</v>
      </c>
      <c r="I233" s="19">
        <v>194113</v>
      </c>
      <c r="J233" s="19">
        <v>4548068</v>
      </c>
      <c r="K233" s="19">
        <v>1338553</v>
      </c>
      <c r="L233" s="19">
        <v>3209515</v>
      </c>
      <c r="M233" s="19">
        <v>267711</v>
      </c>
      <c r="N233" s="19">
        <v>508650</v>
      </c>
      <c r="O233" s="19">
        <v>160626</v>
      </c>
      <c r="P233" s="19">
        <v>401566</v>
      </c>
      <c r="Q233" s="17" t="s">
        <v>86</v>
      </c>
      <c r="R233" s="17" t="s">
        <v>76</v>
      </c>
      <c r="S233" s="17">
        <v>9</v>
      </c>
      <c r="T233" s="17" t="s">
        <v>77</v>
      </c>
      <c r="U233" s="17" t="s">
        <v>78</v>
      </c>
      <c r="V233" s="17" t="s">
        <v>83</v>
      </c>
    </row>
    <row r="234" spans="1:22" x14ac:dyDescent="0.35">
      <c r="A234" s="14" t="s">
        <v>344</v>
      </c>
      <c r="B234" s="14" t="s">
        <v>275</v>
      </c>
      <c r="C234" s="14" t="s">
        <v>327</v>
      </c>
      <c r="D234" s="14" t="s">
        <v>88</v>
      </c>
      <c r="E234" s="14" t="s">
        <v>93</v>
      </c>
      <c r="F234" s="15">
        <v>0.81</v>
      </c>
      <c r="G234" s="15">
        <v>0.7</v>
      </c>
      <c r="H234" s="15">
        <v>0.56999999999999995</v>
      </c>
      <c r="I234" s="16">
        <v>386181</v>
      </c>
      <c r="J234" s="16">
        <v>220123</v>
      </c>
      <c r="K234" s="16">
        <v>80030</v>
      </c>
      <c r="L234" s="16">
        <v>140093</v>
      </c>
      <c r="M234" s="16">
        <v>16006</v>
      </c>
      <c r="N234" s="16">
        <v>30411</v>
      </c>
      <c r="O234" s="16">
        <v>9604</v>
      </c>
      <c r="P234" s="16">
        <v>24009</v>
      </c>
      <c r="Q234" s="14" t="s">
        <v>90</v>
      </c>
      <c r="R234" s="14" t="s">
        <v>81</v>
      </c>
      <c r="S234" s="14">
        <v>3</v>
      </c>
      <c r="T234" s="14" t="s">
        <v>82</v>
      </c>
      <c r="U234" s="14" t="s">
        <v>78</v>
      </c>
      <c r="V234" s="14" t="s">
        <v>83</v>
      </c>
    </row>
    <row r="235" spans="1:22" x14ac:dyDescent="0.35">
      <c r="A235" s="17" t="s">
        <v>345</v>
      </c>
      <c r="B235" s="17" t="s">
        <v>275</v>
      </c>
      <c r="C235" s="17" t="s">
        <v>346</v>
      </c>
      <c r="D235" s="17" t="s">
        <v>73</v>
      </c>
      <c r="E235" s="17" t="s">
        <v>74</v>
      </c>
      <c r="F235" s="18">
        <v>1.84</v>
      </c>
      <c r="G235" s="18">
        <v>6.81</v>
      </c>
      <c r="H235" s="18">
        <v>12.53</v>
      </c>
      <c r="I235" s="19">
        <v>173560</v>
      </c>
      <c r="J235" s="19">
        <v>2174707</v>
      </c>
      <c r="K235" s="19">
        <v>651189</v>
      </c>
      <c r="L235" s="19">
        <v>1523518</v>
      </c>
      <c r="M235" s="19">
        <v>130238</v>
      </c>
      <c r="N235" s="19">
        <v>247452</v>
      </c>
      <c r="O235" s="19">
        <v>78143</v>
      </c>
      <c r="P235" s="19">
        <v>195357</v>
      </c>
      <c r="Q235" s="17" t="s">
        <v>90</v>
      </c>
      <c r="R235" s="17" t="s">
        <v>81</v>
      </c>
      <c r="S235" s="17">
        <v>10</v>
      </c>
      <c r="T235" s="17" t="s">
        <v>82</v>
      </c>
      <c r="U235" s="17" t="s">
        <v>78</v>
      </c>
      <c r="V235" s="17" t="s">
        <v>78</v>
      </c>
    </row>
    <row r="236" spans="1:22" x14ac:dyDescent="0.35">
      <c r="A236" s="14" t="s">
        <v>347</v>
      </c>
      <c r="B236" s="14" t="s">
        <v>275</v>
      </c>
      <c r="C236" s="14" t="s">
        <v>346</v>
      </c>
      <c r="D236" s="14" t="s">
        <v>88</v>
      </c>
      <c r="E236" s="14" t="s">
        <v>116</v>
      </c>
      <c r="F236" s="15">
        <v>1.47</v>
      </c>
      <c r="G236" s="15">
        <v>1.35</v>
      </c>
      <c r="H236" s="15">
        <v>1.98</v>
      </c>
      <c r="I236" s="16">
        <v>157296</v>
      </c>
      <c r="J236" s="16">
        <v>311446</v>
      </c>
      <c r="K236" s="16">
        <v>102951</v>
      </c>
      <c r="L236" s="16">
        <v>208495</v>
      </c>
      <c r="M236" s="16">
        <v>20590</v>
      </c>
      <c r="N236" s="16">
        <v>39121</v>
      </c>
      <c r="O236" s="16">
        <v>12354</v>
      </c>
      <c r="P236" s="16">
        <v>30885</v>
      </c>
      <c r="Q236" s="14" t="s">
        <v>86</v>
      </c>
      <c r="R236" s="14" t="s">
        <v>81</v>
      </c>
      <c r="S236" s="14">
        <v>12</v>
      </c>
      <c r="T236" s="14" t="s">
        <v>82</v>
      </c>
      <c r="U236" s="14" t="s">
        <v>83</v>
      </c>
      <c r="V236" s="14" t="s">
        <v>78</v>
      </c>
    </row>
    <row r="237" spans="1:22" x14ac:dyDescent="0.35">
      <c r="A237" s="17" t="s">
        <v>348</v>
      </c>
      <c r="B237" s="17" t="s">
        <v>275</v>
      </c>
      <c r="C237" s="17" t="s">
        <v>346</v>
      </c>
      <c r="D237" s="17" t="s">
        <v>73</v>
      </c>
      <c r="E237" s="17" t="s">
        <v>105</v>
      </c>
      <c r="F237" s="18">
        <v>0.67</v>
      </c>
      <c r="G237" s="18">
        <v>0.92</v>
      </c>
      <c r="H237" s="18">
        <v>0.62</v>
      </c>
      <c r="I237" s="19">
        <v>406857</v>
      </c>
      <c r="J237" s="19">
        <v>252251</v>
      </c>
      <c r="K237" s="19">
        <v>100352</v>
      </c>
      <c r="L237" s="19">
        <v>151899</v>
      </c>
      <c r="M237" s="19">
        <v>20070</v>
      </c>
      <c r="N237" s="19">
        <v>38134</v>
      </c>
      <c r="O237" s="19">
        <v>12042</v>
      </c>
      <c r="P237" s="19">
        <v>30106</v>
      </c>
      <c r="Q237" s="17" t="s">
        <v>90</v>
      </c>
      <c r="R237" s="17" t="s">
        <v>81</v>
      </c>
      <c r="S237" s="17">
        <v>10</v>
      </c>
      <c r="T237" s="17" t="s">
        <v>82</v>
      </c>
      <c r="U237" s="17" t="s">
        <v>78</v>
      </c>
      <c r="V237" s="17" t="s">
        <v>83</v>
      </c>
    </row>
    <row r="238" spans="1:22" x14ac:dyDescent="0.35">
      <c r="A238" s="14" t="s">
        <v>349</v>
      </c>
      <c r="B238" s="14" t="s">
        <v>275</v>
      </c>
      <c r="C238" s="14" t="s">
        <v>346</v>
      </c>
      <c r="D238" s="14" t="s">
        <v>73</v>
      </c>
      <c r="E238" s="14" t="s">
        <v>111</v>
      </c>
      <c r="F238" s="15">
        <v>1.55</v>
      </c>
      <c r="G238" s="15">
        <v>0.96</v>
      </c>
      <c r="H238" s="15">
        <v>1.49</v>
      </c>
      <c r="I238" s="16">
        <v>518708</v>
      </c>
      <c r="J238" s="16">
        <v>772875</v>
      </c>
      <c r="K238" s="16">
        <v>268235</v>
      </c>
      <c r="L238" s="16">
        <v>504640</v>
      </c>
      <c r="M238" s="16">
        <v>53647</v>
      </c>
      <c r="N238" s="16">
        <v>101929</v>
      </c>
      <c r="O238" s="16">
        <v>32188</v>
      </c>
      <c r="P238" s="16">
        <v>80470</v>
      </c>
      <c r="Q238" s="14" t="s">
        <v>86</v>
      </c>
      <c r="R238" s="14" t="s">
        <v>81</v>
      </c>
      <c r="S238" s="14">
        <v>8</v>
      </c>
      <c r="T238" s="14" t="s">
        <v>82</v>
      </c>
      <c r="U238" s="14" t="s">
        <v>78</v>
      </c>
      <c r="V238" s="14" t="s">
        <v>83</v>
      </c>
    </row>
    <row r="239" spans="1:22" x14ac:dyDescent="0.35">
      <c r="A239" s="17" t="s">
        <v>350</v>
      </c>
      <c r="B239" s="17" t="s">
        <v>275</v>
      </c>
      <c r="C239" s="17" t="s">
        <v>346</v>
      </c>
      <c r="D239" s="17" t="s">
        <v>73</v>
      </c>
      <c r="E239" s="17" t="s">
        <v>105</v>
      </c>
      <c r="F239" s="18">
        <v>1.18</v>
      </c>
      <c r="G239" s="18">
        <v>1.1299999999999999</v>
      </c>
      <c r="H239" s="18">
        <v>1.33</v>
      </c>
      <c r="I239" s="19">
        <v>456019</v>
      </c>
      <c r="J239" s="19">
        <v>606505</v>
      </c>
      <c r="K239" s="19">
        <v>200815</v>
      </c>
      <c r="L239" s="19">
        <v>405690</v>
      </c>
      <c r="M239" s="19">
        <v>40163</v>
      </c>
      <c r="N239" s="19">
        <v>76310</v>
      </c>
      <c r="O239" s="19">
        <v>24098</v>
      </c>
      <c r="P239" s="19">
        <v>60244</v>
      </c>
      <c r="Q239" s="17" t="s">
        <v>75</v>
      </c>
      <c r="R239" s="17" t="s">
        <v>76</v>
      </c>
      <c r="S239" s="17">
        <v>12</v>
      </c>
      <c r="T239" s="17" t="s">
        <v>82</v>
      </c>
      <c r="U239" s="17" t="s">
        <v>83</v>
      </c>
      <c r="V239" s="17" t="s">
        <v>78</v>
      </c>
    </row>
    <row r="240" spans="1:22" x14ac:dyDescent="0.35">
      <c r="A240" s="14" t="s">
        <v>351</v>
      </c>
      <c r="B240" s="14" t="s">
        <v>275</v>
      </c>
      <c r="C240" s="14" t="s">
        <v>346</v>
      </c>
      <c r="D240" s="14" t="s">
        <v>73</v>
      </c>
      <c r="E240" s="14" t="s">
        <v>93</v>
      </c>
      <c r="F240" s="15">
        <v>3.36</v>
      </c>
      <c r="G240" s="15">
        <v>1.07</v>
      </c>
      <c r="H240" s="15">
        <v>3.6</v>
      </c>
      <c r="I240" s="16">
        <v>403754</v>
      </c>
      <c r="J240" s="16">
        <v>1453514</v>
      </c>
      <c r="K240" s="16">
        <v>496206</v>
      </c>
      <c r="L240" s="16">
        <v>957308</v>
      </c>
      <c r="M240" s="16">
        <v>99241</v>
      </c>
      <c r="N240" s="16">
        <v>188558</v>
      </c>
      <c r="O240" s="16">
        <v>59545</v>
      </c>
      <c r="P240" s="16">
        <v>148862</v>
      </c>
      <c r="Q240" s="14" t="s">
        <v>90</v>
      </c>
      <c r="R240" s="14" t="s">
        <v>76</v>
      </c>
      <c r="S240" s="14">
        <v>9</v>
      </c>
      <c r="T240" s="14" t="s">
        <v>77</v>
      </c>
      <c r="U240" s="14" t="s">
        <v>83</v>
      </c>
      <c r="V240" s="14" t="s">
        <v>83</v>
      </c>
    </row>
    <row r="241" spans="1:22" x14ac:dyDescent="0.35">
      <c r="A241" s="17" t="s">
        <v>352</v>
      </c>
      <c r="B241" s="17" t="s">
        <v>275</v>
      </c>
      <c r="C241" s="17" t="s">
        <v>346</v>
      </c>
      <c r="D241" s="17" t="s">
        <v>88</v>
      </c>
      <c r="E241" s="17" t="s">
        <v>116</v>
      </c>
      <c r="F241" s="18">
        <v>1.35</v>
      </c>
      <c r="G241" s="18">
        <v>1.68</v>
      </c>
      <c r="H241" s="18">
        <v>2.27</v>
      </c>
      <c r="I241" s="19">
        <v>154363</v>
      </c>
      <c r="J241" s="19">
        <v>350404</v>
      </c>
      <c r="K241" s="19">
        <v>136823</v>
      </c>
      <c r="L241" s="19">
        <v>213581</v>
      </c>
      <c r="M241" s="19">
        <v>27365</v>
      </c>
      <c r="N241" s="19">
        <v>51993</v>
      </c>
      <c r="O241" s="19">
        <v>16419</v>
      </c>
      <c r="P241" s="19">
        <v>41047</v>
      </c>
      <c r="Q241" s="17" t="s">
        <v>86</v>
      </c>
      <c r="R241" s="17" t="s">
        <v>81</v>
      </c>
      <c r="S241" s="17">
        <v>12</v>
      </c>
      <c r="T241" s="17" t="s">
        <v>82</v>
      </c>
      <c r="U241" s="17" t="s">
        <v>78</v>
      </c>
      <c r="V241" s="17" t="s">
        <v>83</v>
      </c>
    </row>
    <row r="242" spans="1:22" x14ac:dyDescent="0.35">
      <c r="A242" s="14" t="s">
        <v>353</v>
      </c>
      <c r="B242" s="14" t="s">
        <v>275</v>
      </c>
      <c r="C242" s="14" t="s">
        <v>346</v>
      </c>
      <c r="D242" s="14" t="s">
        <v>88</v>
      </c>
      <c r="E242" s="14" t="s">
        <v>96</v>
      </c>
      <c r="F242" s="15">
        <v>1.5</v>
      </c>
      <c r="G242" s="15">
        <v>0.7</v>
      </c>
      <c r="H242" s="15">
        <v>1.05</v>
      </c>
      <c r="I242" s="16">
        <v>373565</v>
      </c>
      <c r="J242" s="16">
        <v>392243</v>
      </c>
      <c r="K242" s="16">
        <v>159004</v>
      </c>
      <c r="L242" s="16">
        <v>233239</v>
      </c>
      <c r="M242" s="16">
        <v>31801</v>
      </c>
      <c r="N242" s="16">
        <v>60422</v>
      </c>
      <c r="O242" s="16">
        <v>19080</v>
      </c>
      <c r="P242" s="16">
        <v>47701</v>
      </c>
      <c r="Q242" s="14" t="s">
        <v>75</v>
      </c>
      <c r="R242" s="14" t="s">
        <v>76</v>
      </c>
      <c r="S242" s="14">
        <v>4</v>
      </c>
      <c r="T242" s="14" t="s">
        <v>82</v>
      </c>
      <c r="U242" s="14" t="s">
        <v>78</v>
      </c>
      <c r="V242" s="14" t="s">
        <v>83</v>
      </c>
    </row>
    <row r="243" spans="1:22" x14ac:dyDescent="0.35">
      <c r="A243" s="17" t="s">
        <v>354</v>
      </c>
      <c r="B243" s="17" t="s">
        <v>275</v>
      </c>
      <c r="C243" s="17" t="s">
        <v>346</v>
      </c>
      <c r="D243" s="17" t="s">
        <v>73</v>
      </c>
      <c r="E243" s="17" t="s">
        <v>101</v>
      </c>
      <c r="F243" s="18">
        <v>4.0599999999999996</v>
      </c>
      <c r="G243" s="18">
        <v>0.87</v>
      </c>
      <c r="H243" s="18">
        <v>3.53</v>
      </c>
      <c r="I243" s="19">
        <v>143135</v>
      </c>
      <c r="J243" s="19">
        <v>505267</v>
      </c>
      <c r="K243" s="19">
        <v>189397</v>
      </c>
      <c r="L243" s="19">
        <v>315870</v>
      </c>
      <c r="M243" s="19">
        <v>37879</v>
      </c>
      <c r="N243" s="19">
        <v>71971</v>
      </c>
      <c r="O243" s="19">
        <v>22728</v>
      </c>
      <c r="P243" s="19">
        <v>56819</v>
      </c>
      <c r="Q243" s="17" t="s">
        <v>90</v>
      </c>
      <c r="R243" s="17" t="s">
        <v>81</v>
      </c>
      <c r="S243" s="17">
        <v>9</v>
      </c>
      <c r="T243" s="17" t="s">
        <v>77</v>
      </c>
      <c r="U243" s="17" t="s">
        <v>78</v>
      </c>
      <c r="V243" s="17" t="s">
        <v>78</v>
      </c>
    </row>
    <row r="244" spans="1:22" x14ac:dyDescent="0.35">
      <c r="A244" s="14" t="s">
        <v>355</v>
      </c>
      <c r="B244" s="14" t="s">
        <v>275</v>
      </c>
      <c r="C244" s="14" t="s">
        <v>346</v>
      </c>
      <c r="D244" s="14" t="s">
        <v>88</v>
      </c>
      <c r="E244" s="14" t="s">
        <v>74</v>
      </c>
      <c r="F244" s="15">
        <v>0.9</v>
      </c>
      <c r="G244" s="15">
        <v>8.3000000000000007</v>
      </c>
      <c r="H244" s="15">
        <v>7.47</v>
      </c>
      <c r="I244" s="16">
        <v>183132</v>
      </c>
      <c r="J244" s="16">
        <v>1367996</v>
      </c>
      <c r="K244" s="16">
        <v>514740</v>
      </c>
      <c r="L244" s="16">
        <v>853256</v>
      </c>
      <c r="M244" s="16">
        <v>102948</v>
      </c>
      <c r="N244" s="16">
        <v>195601</v>
      </c>
      <c r="O244" s="16">
        <v>61769</v>
      </c>
      <c r="P244" s="16">
        <v>154422</v>
      </c>
      <c r="Q244" s="14" t="s">
        <v>86</v>
      </c>
      <c r="R244" s="14" t="s">
        <v>81</v>
      </c>
      <c r="S244" s="14">
        <v>8</v>
      </c>
      <c r="T244" s="14" t="s">
        <v>82</v>
      </c>
      <c r="U244" s="14" t="s">
        <v>78</v>
      </c>
      <c r="V244" s="14" t="s">
        <v>83</v>
      </c>
    </row>
    <row r="245" spans="1:22" x14ac:dyDescent="0.35">
      <c r="A245" s="17" t="s">
        <v>356</v>
      </c>
      <c r="B245" s="17" t="s">
        <v>275</v>
      </c>
      <c r="C245" s="17" t="s">
        <v>346</v>
      </c>
      <c r="D245" s="17" t="s">
        <v>73</v>
      </c>
      <c r="E245" s="17" t="s">
        <v>111</v>
      </c>
      <c r="F245" s="18">
        <v>1.71</v>
      </c>
      <c r="G245" s="18">
        <v>0.64</v>
      </c>
      <c r="H245" s="18">
        <v>1.0900000000000001</v>
      </c>
      <c r="I245" s="19">
        <v>431869</v>
      </c>
      <c r="J245" s="19">
        <v>470737</v>
      </c>
      <c r="K245" s="19">
        <v>159220</v>
      </c>
      <c r="L245" s="19">
        <v>311517</v>
      </c>
      <c r="M245" s="19">
        <v>31844</v>
      </c>
      <c r="N245" s="19">
        <v>60504</v>
      </c>
      <c r="O245" s="19">
        <v>19106</v>
      </c>
      <c r="P245" s="19">
        <v>47766</v>
      </c>
      <c r="Q245" s="17" t="s">
        <v>86</v>
      </c>
      <c r="R245" s="17" t="s">
        <v>76</v>
      </c>
      <c r="S245" s="17">
        <v>5</v>
      </c>
      <c r="T245" s="17" t="s">
        <v>82</v>
      </c>
      <c r="U245" s="17" t="s">
        <v>78</v>
      </c>
      <c r="V245" s="17" t="s">
        <v>83</v>
      </c>
    </row>
    <row r="246" spans="1:22" x14ac:dyDescent="0.35">
      <c r="A246" s="14" t="s">
        <v>357</v>
      </c>
      <c r="B246" s="14" t="s">
        <v>275</v>
      </c>
      <c r="C246" s="14" t="s">
        <v>346</v>
      </c>
      <c r="D246" s="14" t="s">
        <v>88</v>
      </c>
      <c r="E246" s="14" t="s">
        <v>101</v>
      </c>
      <c r="F246" s="15">
        <v>4.8099999999999996</v>
      </c>
      <c r="G246" s="15">
        <v>1.03</v>
      </c>
      <c r="H246" s="15">
        <v>4.95</v>
      </c>
      <c r="I246" s="16">
        <v>119311</v>
      </c>
      <c r="J246" s="16">
        <v>590589</v>
      </c>
      <c r="K246" s="16">
        <v>173437</v>
      </c>
      <c r="L246" s="16">
        <v>417152</v>
      </c>
      <c r="M246" s="16">
        <v>34687</v>
      </c>
      <c r="N246" s="16">
        <v>65906</v>
      </c>
      <c r="O246" s="16">
        <v>20812</v>
      </c>
      <c r="P246" s="16">
        <v>52031</v>
      </c>
      <c r="Q246" s="14" t="s">
        <v>75</v>
      </c>
      <c r="R246" s="14" t="s">
        <v>81</v>
      </c>
      <c r="S246" s="14">
        <v>8</v>
      </c>
      <c r="T246" s="14" t="s">
        <v>77</v>
      </c>
      <c r="U246" s="14" t="s">
        <v>78</v>
      </c>
      <c r="V246" s="14" t="s">
        <v>83</v>
      </c>
    </row>
    <row r="247" spans="1:22" x14ac:dyDescent="0.35">
      <c r="A247" s="17" t="s">
        <v>358</v>
      </c>
      <c r="B247" s="17" t="s">
        <v>275</v>
      </c>
      <c r="C247" s="17" t="s">
        <v>346</v>
      </c>
      <c r="D247" s="17" t="s">
        <v>73</v>
      </c>
      <c r="E247" s="17" t="s">
        <v>80</v>
      </c>
      <c r="F247" s="18">
        <v>0.6</v>
      </c>
      <c r="G247" s="18">
        <v>13.59</v>
      </c>
      <c r="H247" s="18">
        <v>8.15</v>
      </c>
      <c r="I247" s="19">
        <v>83867</v>
      </c>
      <c r="J247" s="19">
        <v>683516</v>
      </c>
      <c r="K247" s="19">
        <v>267943</v>
      </c>
      <c r="L247" s="19">
        <v>415573</v>
      </c>
      <c r="M247" s="19">
        <v>53589</v>
      </c>
      <c r="N247" s="19">
        <v>101818</v>
      </c>
      <c r="O247" s="19">
        <v>32153</v>
      </c>
      <c r="P247" s="19">
        <v>80383</v>
      </c>
      <c r="Q247" s="17" t="s">
        <v>75</v>
      </c>
      <c r="R247" s="17" t="s">
        <v>76</v>
      </c>
      <c r="S247" s="17">
        <v>11</v>
      </c>
      <c r="T247" s="17" t="s">
        <v>82</v>
      </c>
      <c r="U247" s="17" t="s">
        <v>78</v>
      </c>
      <c r="V247" s="17" t="s">
        <v>83</v>
      </c>
    </row>
    <row r="248" spans="1:22" x14ac:dyDescent="0.35">
      <c r="A248" s="14" t="s">
        <v>359</v>
      </c>
      <c r="B248" s="14" t="s">
        <v>275</v>
      </c>
      <c r="C248" s="14" t="s">
        <v>346</v>
      </c>
      <c r="D248" s="14" t="s">
        <v>88</v>
      </c>
      <c r="E248" s="14" t="s">
        <v>116</v>
      </c>
      <c r="F248" s="15">
        <v>2.46</v>
      </c>
      <c r="G248" s="15">
        <v>1.95</v>
      </c>
      <c r="H248" s="15">
        <v>4.8</v>
      </c>
      <c r="I248" s="16">
        <v>133336</v>
      </c>
      <c r="J248" s="16">
        <v>640013</v>
      </c>
      <c r="K248" s="16">
        <v>215497</v>
      </c>
      <c r="L248" s="16">
        <v>424516</v>
      </c>
      <c r="M248" s="16">
        <v>43099</v>
      </c>
      <c r="N248" s="16">
        <v>81889</v>
      </c>
      <c r="O248" s="16">
        <v>25860</v>
      </c>
      <c r="P248" s="16">
        <v>64649</v>
      </c>
      <c r="Q248" s="14" t="s">
        <v>86</v>
      </c>
      <c r="R248" s="14" t="s">
        <v>76</v>
      </c>
      <c r="S248" s="14">
        <v>9</v>
      </c>
      <c r="T248" s="14" t="s">
        <v>77</v>
      </c>
      <c r="U248" s="14" t="s">
        <v>78</v>
      </c>
      <c r="V248" s="14" t="s">
        <v>78</v>
      </c>
    </row>
    <row r="249" spans="1:22" x14ac:dyDescent="0.35">
      <c r="A249" s="17" t="s">
        <v>360</v>
      </c>
      <c r="B249" s="17" t="s">
        <v>275</v>
      </c>
      <c r="C249" s="17" t="s">
        <v>361</v>
      </c>
      <c r="D249" s="17" t="s">
        <v>88</v>
      </c>
      <c r="E249" s="17" t="s">
        <v>98</v>
      </c>
      <c r="F249" s="18">
        <v>2.2799999999999998</v>
      </c>
      <c r="G249" s="18">
        <v>1.75</v>
      </c>
      <c r="H249" s="18">
        <v>3.99</v>
      </c>
      <c r="I249" s="19">
        <v>350269</v>
      </c>
      <c r="J249" s="19">
        <v>1397573</v>
      </c>
      <c r="K249" s="19">
        <v>431584</v>
      </c>
      <c r="L249" s="19">
        <v>965989</v>
      </c>
      <c r="M249" s="19">
        <v>86317</v>
      </c>
      <c r="N249" s="19">
        <v>164002</v>
      </c>
      <c r="O249" s="19">
        <v>51790</v>
      </c>
      <c r="P249" s="19">
        <v>129475</v>
      </c>
      <c r="Q249" s="17" t="s">
        <v>75</v>
      </c>
      <c r="R249" s="17" t="s">
        <v>76</v>
      </c>
      <c r="S249" s="17">
        <v>12</v>
      </c>
      <c r="T249" s="17" t="s">
        <v>77</v>
      </c>
      <c r="U249" s="17" t="s">
        <v>78</v>
      </c>
      <c r="V249" s="17" t="s">
        <v>83</v>
      </c>
    </row>
    <row r="250" spans="1:22" x14ac:dyDescent="0.35">
      <c r="A250" s="14" t="s">
        <v>362</v>
      </c>
      <c r="B250" s="14" t="s">
        <v>275</v>
      </c>
      <c r="C250" s="14" t="s">
        <v>361</v>
      </c>
      <c r="D250" s="14" t="s">
        <v>88</v>
      </c>
      <c r="E250" s="14" t="s">
        <v>116</v>
      </c>
      <c r="F250" s="15">
        <v>1.64</v>
      </c>
      <c r="G250" s="15">
        <v>1.49</v>
      </c>
      <c r="H250" s="15">
        <v>2.44</v>
      </c>
      <c r="I250" s="16">
        <v>134662</v>
      </c>
      <c r="J250" s="16">
        <v>328575</v>
      </c>
      <c r="K250" s="16">
        <v>131683</v>
      </c>
      <c r="L250" s="16">
        <v>196892</v>
      </c>
      <c r="M250" s="16">
        <v>26337</v>
      </c>
      <c r="N250" s="16">
        <v>50040</v>
      </c>
      <c r="O250" s="16">
        <v>15802</v>
      </c>
      <c r="P250" s="16">
        <v>39505</v>
      </c>
      <c r="Q250" s="14" t="s">
        <v>75</v>
      </c>
      <c r="R250" s="14" t="s">
        <v>81</v>
      </c>
      <c r="S250" s="14">
        <v>12</v>
      </c>
      <c r="T250" s="14" t="s">
        <v>82</v>
      </c>
      <c r="U250" s="14" t="s">
        <v>78</v>
      </c>
      <c r="V250" s="14" t="s">
        <v>83</v>
      </c>
    </row>
    <row r="251" spans="1:22" x14ac:dyDescent="0.35">
      <c r="A251" s="17" t="s">
        <v>363</v>
      </c>
      <c r="B251" s="17" t="s">
        <v>275</v>
      </c>
      <c r="C251" s="17" t="s">
        <v>361</v>
      </c>
      <c r="D251" s="17" t="s">
        <v>73</v>
      </c>
      <c r="E251" s="17" t="s">
        <v>96</v>
      </c>
      <c r="F251" s="18">
        <v>1.07</v>
      </c>
      <c r="G251" s="18">
        <v>0.85</v>
      </c>
      <c r="H251" s="18">
        <v>0.91</v>
      </c>
      <c r="I251" s="19">
        <v>403731</v>
      </c>
      <c r="J251" s="19">
        <v>367395</v>
      </c>
      <c r="K251" s="19">
        <v>144725</v>
      </c>
      <c r="L251" s="19">
        <v>222670</v>
      </c>
      <c r="M251" s="19">
        <v>28945</v>
      </c>
      <c r="N251" s="19">
        <v>54996</v>
      </c>
      <c r="O251" s="19">
        <v>17367</v>
      </c>
      <c r="P251" s="19">
        <v>43418</v>
      </c>
      <c r="Q251" s="17" t="s">
        <v>75</v>
      </c>
      <c r="R251" s="17" t="s">
        <v>81</v>
      </c>
      <c r="S251" s="17">
        <v>12</v>
      </c>
      <c r="T251" s="17" t="s">
        <v>82</v>
      </c>
      <c r="U251" s="17" t="s">
        <v>83</v>
      </c>
      <c r="V251" s="17" t="s">
        <v>78</v>
      </c>
    </row>
    <row r="252" spans="1:22" x14ac:dyDescent="0.35">
      <c r="A252" s="14" t="s">
        <v>364</v>
      </c>
      <c r="B252" s="14" t="s">
        <v>275</v>
      </c>
      <c r="C252" s="14" t="s">
        <v>361</v>
      </c>
      <c r="D252" s="14" t="s">
        <v>88</v>
      </c>
      <c r="E252" s="14" t="s">
        <v>116</v>
      </c>
      <c r="F252" s="15">
        <v>0.91</v>
      </c>
      <c r="G252" s="15">
        <v>1.35</v>
      </c>
      <c r="H252" s="15">
        <v>1.23</v>
      </c>
      <c r="I252" s="16">
        <v>131212</v>
      </c>
      <c r="J252" s="16">
        <v>161391</v>
      </c>
      <c r="K252" s="16">
        <v>60857</v>
      </c>
      <c r="L252" s="16">
        <v>100534</v>
      </c>
      <c r="M252" s="16">
        <v>12171</v>
      </c>
      <c r="N252" s="16">
        <v>23126</v>
      </c>
      <c r="O252" s="16">
        <v>7303</v>
      </c>
      <c r="P252" s="16">
        <v>18257</v>
      </c>
      <c r="Q252" s="14" t="s">
        <v>75</v>
      </c>
      <c r="R252" s="14" t="s">
        <v>81</v>
      </c>
      <c r="S252" s="14">
        <v>9</v>
      </c>
      <c r="T252" s="14" t="s">
        <v>82</v>
      </c>
      <c r="U252" s="14" t="s">
        <v>83</v>
      </c>
      <c r="V252" s="14" t="s">
        <v>78</v>
      </c>
    </row>
    <row r="253" spans="1:22" x14ac:dyDescent="0.35">
      <c r="A253" s="17" t="s">
        <v>365</v>
      </c>
      <c r="B253" s="17" t="s">
        <v>275</v>
      </c>
      <c r="C253" s="17" t="s">
        <v>361</v>
      </c>
      <c r="D253" s="17" t="s">
        <v>88</v>
      </c>
      <c r="E253" s="17" t="s">
        <v>111</v>
      </c>
      <c r="F253" s="18">
        <v>1.98</v>
      </c>
      <c r="G253" s="18">
        <v>0.76</v>
      </c>
      <c r="H253" s="18">
        <v>1.5</v>
      </c>
      <c r="I253" s="19">
        <v>495495</v>
      </c>
      <c r="J253" s="19">
        <v>743242</v>
      </c>
      <c r="K253" s="19">
        <v>303750</v>
      </c>
      <c r="L253" s="19">
        <v>439492</v>
      </c>
      <c r="M253" s="19">
        <v>60750</v>
      </c>
      <c r="N253" s="19">
        <v>115425</v>
      </c>
      <c r="O253" s="19">
        <v>36450</v>
      </c>
      <c r="P253" s="19">
        <v>91125</v>
      </c>
      <c r="Q253" s="17" t="s">
        <v>86</v>
      </c>
      <c r="R253" s="17" t="s">
        <v>76</v>
      </c>
      <c r="S253" s="17">
        <v>10</v>
      </c>
      <c r="T253" s="17" t="s">
        <v>82</v>
      </c>
      <c r="U253" s="17" t="s">
        <v>78</v>
      </c>
      <c r="V253" s="17" t="s">
        <v>78</v>
      </c>
    </row>
    <row r="254" spans="1:22" x14ac:dyDescent="0.35">
      <c r="A254" s="14" t="s">
        <v>366</v>
      </c>
      <c r="B254" s="14" t="s">
        <v>275</v>
      </c>
      <c r="C254" s="14" t="s">
        <v>361</v>
      </c>
      <c r="D254" s="14" t="s">
        <v>88</v>
      </c>
      <c r="E254" s="14" t="s">
        <v>116</v>
      </c>
      <c r="F254" s="15">
        <v>3.45</v>
      </c>
      <c r="G254" s="15">
        <v>1.64</v>
      </c>
      <c r="H254" s="15">
        <v>5.66</v>
      </c>
      <c r="I254" s="16">
        <v>160900</v>
      </c>
      <c r="J254" s="16">
        <v>910694</v>
      </c>
      <c r="K254" s="16">
        <v>376351</v>
      </c>
      <c r="L254" s="16">
        <v>534343</v>
      </c>
      <c r="M254" s="16">
        <v>75270</v>
      </c>
      <c r="N254" s="16">
        <v>143013</v>
      </c>
      <c r="O254" s="16">
        <v>45162</v>
      </c>
      <c r="P254" s="16">
        <v>112905</v>
      </c>
      <c r="Q254" s="14" t="s">
        <v>90</v>
      </c>
      <c r="R254" s="14" t="s">
        <v>76</v>
      </c>
      <c r="S254" s="14">
        <v>6</v>
      </c>
      <c r="T254" s="14" t="s">
        <v>77</v>
      </c>
      <c r="U254" s="14" t="s">
        <v>78</v>
      </c>
      <c r="V254" s="14" t="s">
        <v>83</v>
      </c>
    </row>
    <row r="255" spans="1:22" x14ac:dyDescent="0.35">
      <c r="A255" s="17" t="s">
        <v>367</v>
      </c>
      <c r="B255" s="17" t="s">
        <v>275</v>
      </c>
      <c r="C255" s="17" t="s">
        <v>361</v>
      </c>
      <c r="D255" s="17" t="s">
        <v>88</v>
      </c>
      <c r="E255" s="17" t="s">
        <v>93</v>
      </c>
      <c r="F255" s="18">
        <v>1.73</v>
      </c>
      <c r="G255" s="18">
        <v>0.93</v>
      </c>
      <c r="H255" s="18">
        <v>1.61</v>
      </c>
      <c r="I255" s="19">
        <v>403956</v>
      </c>
      <c r="J255" s="19">
        <v>650369</v>
      </c>
      <c r="K255" s="19">
        <v>222517</v>
      </c>
      <c r="L255" s="19">
        <v>427852</v>
      </c>
      <c r="M255" s="19">
        <v>44503</v>
      </c>
      <c r="N255" s="19">
        <v>84556</v>
      </c>
      <c r="O255" s="19">
        <v>26702</v>
      </c>
      <c r="P255" s="19">
        <v>66755</v>
      </c>
      <c r="Q255" s="17" t="s">
        <v>86</v>
      </c>
      <c r="R255" s="17" t="s">
        <v>76</v>
      </c>
      <c r="S255" s="17">
        <v>12</v>
      </c>
      <c r="T255" s="17" t="s">
        <v>82</v>
      </c>
      <c r="U255" s="17" t="s">
        <v>78</v>
      </c>
      <c r="V255" s="17" t="s">
        <v>78</v>
      </c>
    </row>
    <row r="256" spans="1:22" x14ac:dyDescent="0.35">
      <c r="A256" s="14" t="s">
        <v>368</v>
      </c>
      <c r="B256" s="14" t="s">
        <v>275</v>
      </c>
      <c r="C256" s="14" t="s">
        <v>361</v>
      </c>
      <c r="D256" s="14" t="s">
        <v>73</v>
      </c>
      <c r="E256" s="14" t="s">
        <v>85</v>
      </c>
      <c r="F256" s="15">
        <v>1.74</v>
      </c>
      <c r="G256" s="15">
        <v>1.43</v>
      </c>
      <c r="H256" s="15">
        <v>2.4900000000000002</v>
      </c>
      <c r="I256" s="16">
        <v>117060</v>
      </c>
      <c r="J256" s="16">
        <v>291479</v>
      </c>
      <c r="K256" s="16">
        <v>100276</v>
      </c>
      <c r="L256" s="16">
        <v>191203</v>
      </c>
      <c r="M256" s="16">
        <v>20055</v>
      </c>
      <c r="N256" s="16">
        <v>38105</v>
      </c>
      <c r="O256" s="16">
        <v>12033</v>
      </c>
      <c r="P256" s="16">
        <v>30083</v>
      </c>
      <c r="Q256" s="14" t="s">
        <v>75</v>
      </c>
      <c r="R256" s="14" t="s">
        <v>81</v>
      </c>
      <c r="S256" s="14">
        <v>11</v>
      </c>
      <c r="T256" s="14" t="s">
        <v>82</v>
      </c>
      <c r="U256" s="14" t="s">
        <v>83</v>
      </c>
      <c r="V256" s="14" t="s">
        <v>78</v>
      </c>
    </row>
    <row r="257" spans="1:22" x14ac:dyDescent="0.35">
      <c r="A257" s="17" t="s">
        <v>369</v>
      </c>
      <c r="B257" s="17" t="s">
        <v>275</v>
      </c>
      <c r="C257" s="17" t="s">
        <v>361</v>
      </c>
      <c r="D257" s="17" t="s">
        <v>73</v>
      </c>
      <c r="E257" s="17" t="s">
        <v>111</v>
      </c>
      <c r="F257" s="18">
        <v>1.44</v>
      </c>
      <c r="G257" s="18">
        <v>0.92</v>
      </c>
      <c r="H257" s="18">
        <v>1.32</v>
      </c>
      <c r="I257" s="19">
        <v>562161</v>
      </c>
      <c r="J257" s="19">
        <v>742053</v>
      </c>
      <c r="K257" s="19">
        <v>264086</v>
      </c>
      <c r="L257" s="19">
        <v>477967</v>
      </c>
      <c r="M257" s="19">
        <v>52817</v>
      </c>
      <c r="N257" s="19">
        <v>100353</v>
      </c>
      <c r="O257" s="19">
        <v>31690</v>
      </c>
      <c r="P257" s="19">
        <v>79226</v>
      </c>
      <c r="Q257" s="17" t="s">
        <v>86</v>
      </c>
      <c r="R257" s="17" t="s">
        <v>81</v>
      </c>
      <c r="S257" s="17">
        <v>11</v>
      </c>
      <c r="T257" s="17" t="s">
        <v>82</v>
      </c>
      <c r="U257" s="17" t="s">
        <v>78</v>
      </c>
      <c r="V257" s="17" t="s">
        <v>83</v>
      </c>
    </row>
    <row r="258" spans="1:22" x14ac:dyDescent="0.35">
      <c r="A258" s="14" t="s">
        <v>370</v>
      </c>
      <c r="B258" s="14" t="s">
        <v>275</v>
      </c>
      <c r="C258" s="14" t="s">
        <v>361</v>
      </c>
      <c r="D258" s="14" t="s">
        <v>73</v>
      </c>
      <c r="E258" s="14" t="s">
        <v>74</v>
      </c>
      <c r="F258" s="15">
        <v>1.1000000000000001</v>
      </c>
      <c r="G258" s="15">
        <v>11.05</v>
      </c>
      <c r="H258" s="15">
        <v>12.16</v>
      </c>
      <c r="I258" s="16">
        <v>177286</v>
      </c>
      <c r="J258" s="16">
        <v>2155798</v>
      </c>
      <c r="K258" s="16">
        <v>708828</v>
      </c>
      <c r="L258" s="16">
        <v>1446970</v>
      </c>
      <c r="M258" s="16">
        <v>141766</v>
      </c>
      <c r="N258" s="16">
        <v>269355</v>
      </c>
      <c r="O258" s="16">
        <v>85059</v>
      </c>
      <c r="P258" s="16">
        <v>212648</v>
      </c>
      <c r="Q258" s="14" t="s">
        <v>86</v>
      </c>
      <c r="R258" s="14" t="s">
        <v>81</v>
      </c>
      <c r="S258" s="14">
        <v>4</v>
      </c>
      <c r="T258" s="14" t="s">
        <v>82</v>
      </c>
      <c r="U258" s="14" t="s">
        <v>78</v>
      </c>
      <c r="V258" s="14" t="s">
        <v>78</v>
      </c>
    </row>
    <row r="259" spans="1:22" x14ac:dyDescent="0.35">
      <c r="A259" s="17" t="s">
        <v>371</v>
      </c>
      <c r="B259" s="17" t="s">
        <v>275</v>
      </c>
      <c r="C259" s="17" t="s">
        <v>361</v>
      </c>
      <c r="D259" s="17" t="s">
        <v>88</v>
      </c>
      <c r="E259" s="17" t="s">
        <v>111</v>
      </c>
      <c r="F259" s="18">
        <v>3.51</v>
      </c>
      <c r="G259" s="18">
        <v>0.82</v>
      </c>
      <c r="H259" s="18">
        <v>2.88</v>
      </c>
      <c r="I259" s="19">
        <v>479441</v>
      </c>
      <c r="J259" s="19">
        <v>1380790</v>
      </c>
      <c r="K259" s="19">
        <v>505730</v>
      </c>
      <c r="L259" s="19">
        <v>875060</v>
      </c>
      <c r="M259" s="19">
        <v>101146</v>
      </c>
      <c r="N259" s="19">
        <v>192177</v>
      </c>
      <c r="O259" s="19">
        <v>60688</v>
      </c>
      <c r="P259" s="19">
        <v>151719</v>
      </c>
      <c r="Q259" s="17" t="s">
        <v>86</v>
      </c>
      <c r="R259" s="17" t="s">
        <v>76</v>
      </c>
      <c r="S259" s="17">
        <v>3</v>
      </c>
      <c r="T259" s="17" t="s">
        <v>77</v>
      </c>
      <c r="U259" s="17" t="s">
        <v>83</v>
      </c>
      <c r="V259" s="17" t="s">
        <v>83</v>
      </c>
    </row>
    <row r="260" spans="1:22" x14ac:dyDescent="0.35">
      <c r="A260" s="14" t="s">
        <v>372</v>
      </c>
      <c r="B260" s="14" t="s">
        <v>275</v>
      </c>
      <c r="C260" s="14" t="s">
        <v>361</v>
      </c>
      <c r="D260" s="14" t="s">
        <v>88</v>
      </c>
      <c r="E260" s="14" t="s">
        <v>93</v>
      </c>
      <c r="F260" s="15">
        <v>2.29</v>
      </c>
      <c r="G260" s="15">
        <v>0.75</v>
      </c>
      <c r="H260" s="15">
        <v>1.72</v>
      </c>
      <c r="I260" s="16">
        <v>434606</v>
      </c>
      <c r="J260" s="16">
        <v>747522</v>
      </c>
      <c r="K260" s="16">
        <v>239931</v>
      </c>
      <c r="L260" s="16">
        <v>507591</v>
      </c>
      <c r="M260" s="16">
        <v>47986</v>
      </c>
      <c r="N260" s="16">
        <v>91174</v>
      </c>
      <c r="O260" s="16">
        <v>28792</v>
      </c>
      <c r="P260" s="16">
        <v>71979</v>
      </c>
      <c r="Q260" s="14" t="s">
        <v>75</v>
      </c>
      <c r="R260" s="14" t="s">
        <v>81</v>
      </c>
      <c r="S260" s="14">
        <v>11</v>
      </c>
      <c r="T260" s="14" t="s">
        <v>77</v>
      </c>
      <c r="U260" s="14" t="s">
        <v>83</v>
      </c>
      <c r="V260" s="14" t="s">
        <v>78</v>
      </c>
    </row>
    <row r="261" spans="1:22" x14ac:dyDescent="0.35">
      <c r="A261" s="17" t="s">
        <v>373</v>
      </c>
      <c r="B261" s="17" t="s">
        <v>275</v>
      </c>
      <c r="C261" s="17" t="s">
        <v>361</v>
      </c>
      <c r="D261" s="17" t="s">
        <v>88</v>
      </c>
      <c r="E261" s="17" t="s">
        <v>116</v>
      </c>
      <c r="F261" s="18">
        <v>3.72</v>
      </c>
      <c r="G261" s="18">
        <v>1.98</v>
      </c>
      <c r="H261" s="18">
        <v>7.37</v>
      </c>
      <c r="I261" s="19">
        <v>160967</v>
      </c>
      <c r="J261" s="19">
        <v>1186327</v>
      </c>
      <c r="K261" s="19">
        <v>353246</v>
      </c>
      <c r="L261" s="19">
        <v>833081</v>
      </c>
      <c r="M261" s="19">
        <v>70649</v>
      </c>
      <c r="N261" s="19">
        <v>134233</v>
      </c>
      <c r="O261" s="19">
        <v>42390</v>
      </c>
      <c r="P261" s="19">
        <v>105974</v>
      </c>
      <c r="Q261" s="17" t="s">
        <v>86</v>
      </c>
      <c r="R261" s="17" t="s">
        <v>76</v>
      </c>
      <c r="S261" s="17">
        <v>5</v>
      </c>
      <c r="T261" s="17" t="s">
        <v>77</v>
      </c>
      <c r="U261" s="17" t="s">
        <v>83</v>
      </c>
      <c r="V261" s="17" t="s">
        <v>83</v>
      </c>
    </row>
    <row r="262" spans="1:22" x14ac:dyDescent="0.35">
      <c r="A262" s="14" t="s">
        <v>374</v>
      </c>
      <c r="B262" s="14" t="s">
        <v>275</v>
      </c>
      <c r="C262" s="14" t="s">
        <v>361</v>
      </c>
      <c r="D262" s="14" t="s">
        <v>88</v>
      </c>
      <c r="E262" s="14" t="s">
        <v>98</v>
      </c>
      <c r="F262" s="15">
        <v>1.97</v>
      </c>
      <c r="G262" s="15">
        <v>1.96</v>
      </c>
      <c r="H262" s="15">
        <v>3.86</v>
      </c>
      <c r="I262" s="16">
        <v>307103</v>
      </c>
      <c r="J262" s="16">
        <v>1185418</v>
      </c>
      <c r="K262" s="16">
        <v>400661</v>
      </c>
      <c r="L262" s="16">
        <v>784757</v>
      </c>
      <c r="M262" s="16">
        <v>80132</v>
      </c>
      <c r="N262" s="16">
        <v>152251</v>
      </c>
      <c r="O262" s="16">
        <v>48079</v>
      </c>
      <c r="P262" s="16">
        <v>120198</v>
      </c>
      <c r="Q262" s="14" t="s">
        <v>90</v>
      </c>
      <c r="R262" s="14" t="s">
        <v>76</v>
      </c>
      <c r="S262" s="14">
        <v>4</v>
      </c>
      <c r="T262" s="14" t="s">
        <v>82</v>
      </c>
      <c r="U262" s="14" t="s">
        <v>78</v>
      </c>
      <c r="V262" s="14" t="s">
        <v>83</v>
      </c>
    </row>
    <row r="263" spans="1:22" x14ac:dyDescent="0.35">
      <c r="A263" s="17" t="s">
        <v>375</v>
      </c>
      <c r="B263" s="17" t="s">
        <v>275</v>
      </c>
      <c r="C263" s="17" t="s">
        <v>361</v>
      </c>
      <c r="D263" s="17" t="s">
        <v>88</v>
      </c>
      <c r="E263" s="17" t="s">
        <v>85</v>
      </c>
      <c r="F263" s="18">
        <v>2.5499999999999998</v>
      </c>
      <c r="G263" s="18">
        <v>1.18</v>
      </c>
      <c r="H263" s="18">
        <v>3.01</v>
      </c>
      <c r="I263" s="19">
        <v>133196</v>
      </c>
      <c r="J263" s="19">
        <v>400920</v>
      </c>
      <c r="K263" s="19">
        <v>161028</v>
      </c>
      <c r="L263" s="19">
        <v>239892</v>
      </c>
      <c r="M263" s="19">
        <v>32206</v>
      </c>
      <c r="N263" s="19">
        <v>61191</v>
      </c>
      <c r="O263" s="19">
        <v>19323</v>
      </c>
      <c r="P263" s="19">
        <v>48308</v>
      </c>
      <c r="Q263" s="17" t="s">
        <v>75</v>
      </c>
      <c r="R263" s="17" t="s">
        <v>76</v>
      </c>
      <c r="S263" s="17">
        <v>10</v>
      </c>
      <c r="T263" s="17" t="s">
        <v>77</v>
      </c>
      <c r="U263" s="17" t="s">
        <v>83</v>
      </c>
      <c r="V263" s="17" t="s">
        <v>83</v>
      </c>
    </row>
    <row r="264" spans="1:22" x14ac:dyDescent="0.35">
      <c r="A264" s="14" t="s">
        <v>376</v>
      </c>
      <c r="B264" s="14" t="s">
        <v>275</v>
      </c>
      <c r="C264" s="14" t="s">
        <v>361</v>
      </c>
      <c r="D264" s="14" t="s">
        <v>73</v>
      </c>
      <c r="E264" s="14" t="s">
        <v>101</v>
      </c>
      <c r="F264" s="15">
        <v>4.88</v>
      </c>
      <c r="G264" s="15">
        <v>1.1299999999999999</v>
      </c>
      <c r="H264" s="15">
        <v>5.51</v>
      </c>
      <c r="I264" s="16">
        <v>142555</v>
      </c>
      <c r="J264" s="16">
        <v>785478</v>
      </c>
      <c r="K264" s="16">
        <v>310640</v>
      </c>
      <c r="L264" s="16">
        <v>474838</v>
      </c>
      <c r="M264" s="16">
        <v>62128</v>
      </c>
      <c r="N264" s="16">
        <v>118043</v>
      </c>
      <c r="O264" s="16">
        <v>37277</v>
      </c>
      <c r="P264" s="16">
        <v>93192</v>
      </c>
      <c r="Q264" s="14" t="s">
        <v>90</v>
      </c>
      <c r="R264" s="14" t="s">
        <v>81</v>
      </c>
      <c r="S264" s="14">
        <v>8</v>
      </c>
      <c r="T264" s="14" t="s">
        <v>77</v>
      </c>
      <c r="U264" s="14" t="s">
        <v>78</v>
      </c>
      <c r="V264" s="14" t="s">
        <v>83</v>
      </c>
    </row>
    <row r="265" spans="1:22" x14ac:dyDescent="0.35">
      <c r="A265" s="17" t="s">
        <v>377</v>
      </c>
      <c r="B265" s="17" t="s">
        <v>275</v>
      </c>
      <c r="C265" s="17" t="s">
        <v>361</v>
      </c>
      <c r="D265" s="17" t="s">
        <v>73</v>
      </c>
      <c r="E265" s="17" t="s">
        <v>93</v>
      </c>
      <c r="F265" s="18">
        <v>2.2000000000000002</v>
      </c>
      <c r="G265" s="18">
        <v>1.0900000000000001</v>
      </c>
      <c r="H265" s="18">
        <v>2.4</v>
      </c>
      <c r="I265" s="19">
        <v>362186</v>
      </c>
      <c r="J265" s="19">
        <v>869246</v>
      </c>
      <c r="K265" s="19">
        <v>326452</v>
      </c>
      <c r="L265" s="19">
        <v>542794</v>
      </c>
      <c r="M265" s="19">
        <v>65290</v>
      </c>
      <c r="N265" s="19">
        <v>124052</v>
      </c>
      <c r="O265" s="19">
        <v>39174</v>
      </c>
      <c r="P265" s="19">
        <v>97936</v>
      </c>
      <c r="Q265" s="17" t="s">
        <v>86</v>
      </c>
      <c r="R265" s="17" t="s">
        <v>76</v>
      </c>
      <c r="S265" s="17">
        <v>4</v>
      </c>
      <c r="T265" s="17" t="s">
        <v>77</v>
      </c>
      <c r="U265" s="17" t="s">
        <v>83</v>
      </c>
      <c r="V265" s="17" t="s">
        <v>83</v>
      </c>
    </row>
    <row r="266" spans="1:22" x14ac:dyDescent="0.35">
      <c r="A266" s="14" t="s">
        <v>378</v>
      </c>
      <c r="B266" s="14" t="s">
        <v>275</v>
      </c>
      <c r="C266" s="14" t="s">
        <v>379</v>
      </c>
      <c r="D266" s="14" t="s">
        <v>73</v>
      </c>
      <c r="E266" s="14" t="s">
        <v>74</v>
      </c>
      <c r="F266" s="15">
        <v>1.49</v>
      </c>
      <c r="G266" s="15">
        <v>5.95</v>
      </c>
      <c r="H266" s="15">
        <v>8.8699999999999992</v>
      </c>
      <c r="I266" s="16">
        <v>204734</v>
      </c>
      <c r="J266" s="16">
        <v>1815991</v>
      </c>
      <c r="K266" s="16">
        <v>559915</v>
      </c>
      <c r="L266" s="16">
        <v>1256076</v>
      </c>
      <c r="M266" s="16">
        <v>111983</v>
      </c>
      <c r="N266" s="16">
        <v>212768</v>
      </c>
      <c r="O266" s="16">
        <v>67190</v>
      </c>
      <c r="P266" s="16">
        <v>167974</v>
      </c>
      <c r="Q266" s="14" t="s">
        <v>75</v>
      </c>
      <c r="R266" s="14" t="s">
        <v>76</v>
      </c>
      <c r="S266" s="14">
        <v>7</v>
      </c>
      <c r="T266" s="14" t="s">
        <v>82</v>
      </c>
      <c r="U266" s="14" t="s">
        <v>78</v>
      </c>
      <c r="V266" s="14" t="s">
        <v>83</v>
      </c>
    </row>
    <row r="267" spans="1:22" x14ac:dyDescent="0.35">
      <c r="A267" s="17" t="s">
        <v>380</v>
      </c>
      <c r="B267" s="17" t="s">
        <v>275</v>
      </c>
      <c r="C267" s="17" t="s">
        <v>379</v>
      </c>
      <c r="D267" s="17" t="s">
        <v>88</v>
      </c>
      <c r="E267" s="17" t="s">
        <v>74</v>
      </c>
      <c r="F267" s="18">
        <v>0.98</v>
      </c>
      <c r="G267" s="18">
        <v>6.67</v>
      </c>
      <c r="H267" s="18">
        <v>6.54</v>
      </c>
      <c r="I267" s="19">
        <v>201805</v>
      </c>
      <c r="J267" s="19">
        <v>1319805</v>
      </c>
      <c r="K267" s="19">
        <v>400130</v>
      </c>
      <c r="L267" s="19">
        <v>919675</v>
      </c>
      <c r="M267" s="19">
        <v>80026</v>
      </c>
      <c r="N267" s="19">
        <v>152049</v>
      </c>
      <c r="O267" s="19">
        <v>48016</v>
      </c>
      <c r="P267" s="19">
        <v>120039</v>
      </c>
      <c r="Q267" s="17" t="s">
        <v>90</v>
      </c>
      <c r="R267" s="17" t="s">
        <v>81</v>
      </c>
      <c r="S267" s="17">
        <v>6</v>
      </c>
      <c r="T267" s="17" t="s">
        <v>82</v>
      </c>
      <c r="U267" s="17" t="s">
        <v>78</v>
      </c>
      <c r="V267" s="17" t="s">
        <v>83</v>
      </c>
    </row>
    <row r="268" spans="1:22" x14ac:dyDescent="0.35">
      <c r="A268" s="14" t="s">
        <v>381</v>
      </c>
      <c r="B268" s="14" t="s">
        <v>275</v>
      </c>
      <c r="C268" s="14" t="s">
        <v>379</v>
      </c>
      <c r="D268" s="14" t="s">
        <v>73</v>
      </c>
      <c r="E268" s="14" t="s">
        <v>74</v>
      </c>
      <c r="F268" s="15">
        <v>0.3</v>
      </c>
      <c r="G268" s="15">
        <v>8.3800000000000008</v>
      </c>
      <c r="H268" s="15">
        <v>2.5099999999999998</v>
      </c>
      <c r="I268" s="16">
        <v>160166</v>
      </c>
      <c r="J268" s="16">
        <v>402017</v>
      </c>
      <c r="K268" s="16">
        <v>125295</v>
      </c>
      <c r="L268" s="16">
        <v>276722</v>
      </c>
      <c r="M268" s="16">
        <v>25059</v>
      </c>
      <c r="N268" s="16">
        <v>47612</v>
      </c>
      <c r="O268" s="16">
        <v>15035</v>
      </c>
      <c r="P268" s="16">
        <v>37588</v>
      </c>
      <c r="Q268" s="14" t="s">
        <v>75</v>
      </c>
      <c r="R268" s="14" t="s">
        <v>81</v>
      </c>
      <c r="S268" s="14">
        <v>3</v>
      </c>
      <c r="T268" s="14" t="s">
        <v>82</v>
      </c>
      <c r="U268" s="14" t="s">
        <v>78</v>
      </c>
      <c r="V268" s="14" t="s">
        <v>83</v>
      </c>
    </row>
    <row r="269" spans="1:22" x14ac:dyDescent="0.35">
      <c r="A269" s="17" t="s">
        <v>382</v>
      </c>
      <c r="B269" s="17" t="s">
        <v>275</v>
      </c>
      <c r="C269" s="17" t="s">
        <v>379</v>
      </c>
      <c r="D269" s="17" t="s">
        <v>73</v>
      </c>
      <c r="E269" s="17" t="s">
        <v>101</v>
      </c>
      <c r="F269" s="18">
        <v>5.93</v>
      </c>
      <c r="G269" s="18">
        <v>1.1399999999999999</v>
      </c>
      <c r="H269" s="18">
        <v>6.76</v>
      </c>
      <c r="I269" s="19">
        <v>111207</v>
      </c>
      <c r="J269" s="19">
        <v>751759</v>
      </c>
      <c r="K269" s="19">
        <v>217947</v>
      </c>
      <c r="L269" s="19">
        <v>533812</v>
      </c>
      <c r="M269" s="19">
        <v>43589</v>
      </c>
      <c r="N269" s="19">
        <v>82820</v>
      </c>
      <c r="O269" s="19">
        <v>26154</v>
      </c>
      <c r="P269" s="19">
        <v>65384</v>
      </c>
      <c r="Q269" s="17" t="s">
        <v>90</v>
      </c>
      <c r="R269" s="17" t="s">
        <v>76</v>
      </c>
      <c r="S269" s="17">
        <v>4</v>
      </c>
      <c r="T269" s="17" t="s">
        <v>163</v>
      </c>
      <c r="U269" s="17" t="s">
        <v>78</v>
      </c>
      <c r="V269" s="17" t="s">
        <v>83</v>
      </c>
    </row>
    <row r="270" spans="1:22" x14ac:dyDescent="0.35">
      <c r="A270" s="14" t="s">
        <v>383</v>
      </c>
      <c r="B270" s="14" t="s">
        <v>275</v>
      </c>
      <c r="C270" s="14" t="s">
        <v>379</v>
      </c>
      <c r="D270" s="14" t="s">
        <v>88</v>
      </c>
      <c r="E270" s="14" t="s">
        <v>101</v>
      </c>
      <c r="F270" s="15">
        <v>1.25</v>
      </c>
      <c r="G270" s="15">
        <v>1.19</v>
      </c>
      <c r="H270" s="15">
        <v>1.49</v>
      </c>
      <c r="I270" s="16">
        <v>134493</v>
      </c>
      <c r="J270" s="16">
        <v>200395</v>
      </c>
      <c r="K270" s="16">
        <v>59846</v>
      </c>
      <c r="L270" s="16">
        <v>140549</v>
      </c>
      <c r="M270" s="16">
        <v>11969</v>
      </c>
      <c r="N270" s="16">
        <v>22741</v>
      </c>
      <c r="O270" s="16">
        <v>7182</v>
      </c>
      <c r="P270" s="16">
        <v>17954</v>
      </c>
      <c r="Q270" s="14" t="s">
        <v>75</v>
      </c>
      <c r="R270" s="14" t="s">
        <v>76</v>
      </c>
      <c r="S270" s="14">
        <v>4</v>
      </c>
      <c r="T270" s="14" t="s">
        <v>82</v>
      </c>
      <c r="U270" s="14" t="s">
        <v>83</v>
      </c>
      <c r="V270" s="14" t="s">
        <v>83</v>
      </c>
    </row>
    <row r="271" spans="1:22" x14ac:dyDescent="0.35">
      <c r="A271" s="17" t="s">
        <v>384</v>
      </c>
      <c r="B271" s="17" t="s">
        <v>275</v>
      </c>
      <c r="C271" s="17" t="s">
        <v>379</v>
      </c>
      <c r="D271" s="17" t="s">
        <v>73</v>
      </c>
      <c r="E271" s="17" t="s">
        <v>80</v>
      </c>
      <c r="F271" s="18">
        <v>2.48</v>
      </c>
      <c r="G271" s="18">
        <v>17</v>
      </c>
      <c r="H271" s="18">
        <v>42.16</v>
      </c>
      <c r="I271" s="19">
        <v>98650</v>
      </c>
      <c r="J271" s="19">
        <v>4159084</v>
      </c>
      <c r="K271" s="19">
        <v>1252684</v>
      </c>
      <c r="L271" s="19">
        <v>2906400</v>
      </c>
      <c r="M271" s="19">
        <v>250537</v>
      </c>
      <c r="N271" s="19">
        <v>476020</v>
      </c>
      <c r="O271" s="19">
        <v>150322</v>
      </c>
      <c r="P271" s="19">
        <v>375805</v>
      </c>
      <c r="Q271" s="17" t="s">
        <v>90</v>
      </c>
      <c r="R271" s="17" t="s">
        <v>81</v>
      </c>
      <c r="S271" s="17">
        <v>6</v>
      </c>
      <c r="T271" s="17" t="s">
        <v>77</v>
      </c>
      <c r="U271" s="17" t="s">
        <v>78</v>
      </c>
      <c r="V271" s="17" t="s">
        <v>78</v>
      </c>
    </row>
    <row r="272" spans="1:22" x14ac:dyDescent="0.35">
      <c r="A272" s="14" t="s">
        <v>385</v>
      </c>
      <c r="B272" s="14" t="s">
        <v>275</v>
      </c>
      <c r="C272" s="14" t="s">
        <v>379</v>
      </c>
      <c r="D272" s="14" t="s">
        <v>73</v>
      </c>
      <c r="E272" s="14" t="s">
        <v>116</v>
      </c>
      <c r="F272" s="15">
        <v>2.56</v>
      </c>
      <c r="G272" s="15">
        <v>1.67</v>
      </c>
      <c r="H272" s="15">
        <v>4.28</v>
      </c>
      <c r="I272" s="16">
        <v>165151</v>
      </c>
      <c r="J272" s="16">
        <v>706846</v>
      </c>
      <c r="K272" s="16">
        <v>229040</v>
      </c>
      <c r="L272" s="16">
        <v>477806</v>
      </c>
      <c r="M272" s="16">
        <v>45808</v>
      </c>
      <c r="N272" s="16">
        <v>87035</v>
      </c>
      <c r="O272" s="16">
        <v>27485</v>
      </c>
      <c r="P272" s="16">
        <v>68712</v>
      </c>
      <c r="Q272" s="14" t="s">
        <v>86</v>
      </c>
      <c r="R272" s="14" t="s">
        <v>76</v>
      </c>
      <c r="S272" s="14">
        <v>7</v>
      </c>
      <c r="T272" s="14" t="s">
        <v>77</v>
      </c>
      <c r="U272" s="14" t="s">
        <v>83</v>
      </c>
      <c r="V272" s="14" t="s">
        <v>78</v>
      </c>
    </row>
    <row r="273" spans="1:22" x14ac:dyDescent="0.35">
      <c r="A273" s="17" t="s">
        <v>386</v>
      </c>
      <c r="B273" s="17" t="s">
        <v>275</v>
      </c>
      <c r="C273" s="17" t="s">
        <v>379</v>
      </c>
      <c r="D273" s="17" t="s">
        <v>88</v>
      </c>
      <c r="E273" s="17" t="s">
        <v>98</v>
      </c>
      <c r="F273" s="18">
        <v>2.84</v>
      </c>
      <c r="G273" s="18">
        <v>2.08</v>
      </c>
      <c r="H273" s="18">
        <v>5.91</v>
      </c>
      <c r="I273" s="19">
        <v>364441</v>
      </c>
      <c r="J273" s="19">
        <v>2153846</v>
      </c>
      <c r="K273" s="19">
        <v>801611</v>
      </c>
      <c r="L273" s="19">
        <v>1352235</v>
      </c>
      <c r="M273" s="19">
        <v>160322</v>
      </c>
      <c r="N273" s="19">
        <v>304612</v>
      </c>
      <c r="O273" s="19">
        <v>96193</v>
      </c>
      <c r="P273" s="19">
        <v>240483</v>
      </c>
      <c r="Q273" s="17" t="s">
        <v>90</v>
      </c>
      <c r="R273" s="17" t="s">
        <v>76</v>
      </c>
      <c r="S273" s="17">
        <v>11</v>
      </c>
      <c r="T273" s="17" t="s">
        <v>77</v>
      </c>
      <c r="U273" s="17" t="s">
        <v>83</v>
      </c>
      <c r="V273" s="17" t="s">
        <v>83</v>
      </c>
    </row>
    <row r="274" spans="1:22" x14ac:dyDescent="0.35">
      <c r="A274" s="14" t="s">
        <v>387</v>
      </c>
      <c r="B274" s="14" t="s">
        <v>388</v>
      </c>
      <c r="C274" s="14" t="s">
        <v>389</v>
      </c>
      <c r="D274" s="14" t="s">
        <v>88</v>
      </c>
      <c r="E274" s="14" t="s">
        <v>96</v>
      </c>
      <c r="F274" s="15">
        <v>1.72</v>
      </c>
      <c r="G274" s="15">
        <v>0.7</v>
      </c>
      <c r="H274" s="15">
        <v>1.2</v>
      </c>
      <c r="I274" s="16">
        <v>424372</v>
      </c>
      <c r="J274" s="16">
        <v>509246</v>
      </c>
      <c r="K274" s="16">
        <v>159653</v>
      </c>
      <c r="L274" s="16">
        <v>349593</v>
      </c>
      <c r="M274" s="16">
        <v>31931</v>
      </c>
      <c r="N274" s="16">
        <v>60668</v>
      </c>
      <c r="O274" s="16">
        <v>19158</v>
      </c>
      <c r="P274" s="16">
        <v>47896</v>
      </c>
      <c r="Q274" s="14" t="s">
        <v>90</v>
      </c>
      <c r="R274" s="14" t="s">
        <v>76</v>
      </c>
      <c r="S274" s="14">
        <v>6</v>
      </c>
      <c r="T274" s="14" t="s">
        <v>82</v>
      </c>
      <c r="U274" s="14" t="s">
        <v>78</v>
      </c>
      <c r="V274" s="14" t="s">
        <v>83</v>
      </c>
    </row>
    <row r="275" spans="1:22" x14ac:dyDescent="0.35">
      <c r="A275" s="17" t="s">
        <v>390</v>
      </c>
      <c r="B275" s="17" t="s">
        <v>388</v>
      </c>
      <c r="C275" s="17" t="s">
        <v>389</v>
      </c>
      <c r="D275" s="17" t="s">
        <v>73</v>
      </c>
      <c r="E275" s="17" t="s">
        <v>111</v>
      </c>
      <c r="F275" s="18">
        <v>2.35</v>
      </c>
      <c r="G275" s="18">
        <v>1.1599999999999999</v>
      </c>
      <c r="H275" s="18">
        <v>2.73</v>
      </c>
      <c r="I275" s="19">
        <v>561572</v>
      </c>
      <c r="J275" s="19">
        <v>1533092</v>
      </c>
      <c r="K275" s="19">
        <v>629717</v>
      </c>
      <c r="L275" s="19">
        <v>903375</v>
      </c>
      <c r="M275" s="19">
        <v>125943</v>
      </c>
      <c r="N275" s="19">
        <v>239292</v>
      </c>
      <c r="O275" s="19">
        <v>75566</v>
      </c>
      <c r="P275" s="19">
        <v>188915</v>
      </c>
      <c r="Q275" s="17" t="s">
        <v>86</v>
      </c>
      <c r="R275" s="17" t="s">
        <v>81</v>
      </c>
      <c r="S275" s="17">
        <v>12</v>
      </c>
      <c r="T275" s="17" t="s">
        <v>77</v>
      </c>
      <c r="U275" s="17" t="s">
        <v>78</v>
      </c>
      <c r="V275" s="17" t="s">
        <v>83</v>
      </c>
    </row>
    <row r="276" spans="1:22" x14ac:dyDescent="0.35">
      <c r="A276" s="14" t="s">
        <v>391</v>
      </c>
      <c r="B276" s="14" t="s">
        <v>388</v>
      </c>
      <c r="C276" s="14" t="s">
        <v>389</v>
      </c>
      <c r="D276" s="14" t="s">
        <v>73</v>
      </c>
      <c r="E276" s="14" t="s">
        <v>93</v>
      </c>
      <c r="F276" s="15">
        <v>2.79</v>
      </c>
      <c r="G276" s="15">
        <v>1.4</v>
      </c>
      <c r="H276" s="15">
        <v>3.91</v>
      </c>
      <c r="I276" s="16">
        <v>410822</v>
      </c>
      <c r="J276" s="16">
        <v>1606314</v>
      </c>
      <c r="K276" s="16">
        <v>453521</v>
      </c>
      <c r="L276" s="16">
        <v>1152793</v>
      </c>
      <c r="M276" s="16">
        <v>90704</v>
      </c>
      <c r="N276" s="16">
        <v>172338</v>
      </c>
      <c r="O276" s="16">
        <v>54423</v>
      </c>
      <c r="P276" s="16">
        <v>136056</v>
      </c>
      <c r="Q276" s="14" t="s">
        <v>86</v>
      </c>
      <c r="R276" s="14" t="s">
        <v>76</v>
      </c>
      <c r="S276" s="14">
        <v>7</v>
      </c>
      <c r="T276" s="14" t="s">
        <v>77</v>
      </c>
      <c r="U276" s="14" t="s">
        <v>78</v>
      </c>
      <c r="V276" s="14" t="s">
        <v>78</v>
      </c>
    </row>
    <row r="277" spans="1:22" x14ac:dyDescent="0.35">
      <c r="A277" s="17" t="s">
        <v>392</v>
      </c>
      <c r="B277" s="17" t="s">
        <v>388</v>
      </c>
      <c r="C277" s="17" t="s">
        <v>389</v>
      </c>
      <c r="D277" s="17" t="s">
        <v>88</v>
      </c>
      <c r="E277" s="17" t="s">
        <v>80</v>
      </c>
      <c r="F277" s="18">
        <v>2.78</v>
      </c>
      <c r="G277" s="18">
        <v>13.73</v>
      </c>
      <c r="H277" s="18">
        <v>38.17</v>
      </c>
      <c r="I277" s="19">
        <v>95030</v>
      </c>
      <c r="J277" s="19">
        <v>3627295</v>
      </c>
      <c r="K277" s="19">
        <v>1226608</v>
      </c>
      <c r="L277" s="19">
        <v>2400687</v>
      </c>
      <c r="M277" s="19">
        <v>245322</v>
      </c>
      <c r="N277" s="19">
        <v>466111</v>
      </c>
      <c r="O277" s="19">
        <v>147193</v>
      </c>
      <c r="P277" s="19">
        <v>367982</v>
      </c>
      <c r="Q277" s="17" t="s">
        <v>75</v>
      </c>
      <c r="R277" s="17" t="s">
        <v>81</v>
      </c>
      <c r="S277" s="17">
        <v>4</v>
      </c>
      <c r="T277" s="17" t="s">
        <v>77</v>
      </c>
      <c r="U277" s="17" t="s">
        <v>83</v>
      </c>
      <c r="V277" s="17" t="s">
        <v>83</v>
      </c>
    </row>
    <row r="278" spans="1:22" x14ac:dyDescent="0.35">
      <c r="A278" s="14" t="s">
        <v>393</v>
      </c>
      <c r="B278" s="14" t="s">
        <v>388</v>
      </c>
      <c r="C278" s="14" t="s">
        <v>389</v>
      </c>
      <c r="D278" s="14" t="s">
        <v>73</v>
      </c>
      <c r="E278" s="14" t="s">
        <v>93</v>
      </c>
      <c r="F278" s="15">
        <v>1.33</v>
      </c>
      <c r="G278" s="15">
        <v>0.97</v>
      </c>
      <c r="H278" s="15">
        <v>1.29</v>
      </c>
      <c r="I278" s="16">
        <v>381289</v>
      </c>
      <c r="J278" s="16">
        <v>491863</v>
      </c>
      <c r="K278" s="16">
        <v>151714</v>
      </c>
      <c r="L278" s="16">
        <v>340149</v>
      </c>
      <c r="M278" s="16">
        <v>30343</v>
      </c>
      <c r="N278" s="16">
        <v>57651</v>
      </c>
      <c r="O278" s="16">
        <v>18206</v>
      </c>
      <c r="P278" s="16">
        <v>45514</v>
      </c>
      <c r="Q278" s="14" t="s">
        <v>86</v>
      </c>
      <c r="R278" s="14" t="s">
        <v>81</v>
      </c>
      <c r="S278" s="14">
        <v>9</v>
      </c>
      <c r="T278" s="14" t="s">
        <v>82</v>
      </c>
      <c r="U278" s="14" t="s">
        <v>83</v>
      </c>
      <c r="V278" s="14" t="s">
        <v>83</v>
      </c>
    </row>
    <row r="279" spans="1:22" x14ac:dyDescent="0.35">
      <c r="A279" s="17" t="s">
        <v>394</v>
      </c>
      <c r="B279" s="17" t="s">
        <v>388</v>
      </c>
      <c r="C279" s="17" t="s">
        <v>389</v>
      </c>
      <c r="D279" s="17" t="s">
        <v>88</v>
      </c>
      <c r="E279" s="17" t="s">
        <v>74</v>
      </c>
      <c r="F279" s="18">
        <v>2.19</v>
      </c>
      <c r="G279" s="18">
        <v>8.2200000000000006</v>
      </c>
      <c r="H279" s="18">
        <v>18</v>
      </c>
      <c r="I279" s="19">
        <v>198709</v>
      </c>
      <c r="J279" s="19">
        <v>3576762</v>
      </c>
      <c r="K279" s="19">
        <v>1030490</v>
      </c>
      <c r="L279" s="19">
        <v>2546272</v>
      </c>
      <c r="M279" s="19">
        <v>206098</v>
      </c>
      <c r="N279" s="19">
        <v>391586</v>
      </c>
      <c r="O279" s="19">
        <v>123659</v>
      </c>
      <c r="P279" s="19">
        <v>309147</v>
      </c>
      <c r="Q279" s="17" t="s">
        <v>86</v>
      </c>
      <c r="R279" s="17" t="s">
        <v>81</v>
      </c>
      <c r="S279" s="17">
        <v>4</v>
      </c>
      <c r="T279" s="17" t="s">
        <v>77</v>
      </c>
      <c r="U279" s="17" t="s">
        <v>78</v>
      </c>
      <c r="V279" s="17" t="s">
        <v>83</v>
      </c>
    </row>
    <row r="280" spans="1:22" x14ac:dyDescent="0.35">
      <c r="A280" s="14" t="s">
        <v>395</v>
      </c>
      <c r="B280" s="14" t="s">
        <v>388</v>
      </c>
      <c r="C280" s="14" t="s">
        <v>389</v>
      </c>
      <c r="D280" s="14" t="s">
        <v>73</v>
      </c>
      <c r="E280" s="14" t="s">
        <v>111</v>
      </c>
      <c r="F280" s="15">
        <v>1.58</v>
      </c>
      <c r="G280" s="15">
        <v>1.03</v>
      </c>
      <c r="H280" s="15">
        <v>1.63</v>
      </c>
      <c r="I280" s="16">
        <v>525377</v>
      </c>
      <c r="J280" s="16">
        <v>856365</v>
      </c>
      <c r="K280" s="16">
        <v>254102</v>
      </c>
      <c r="L280" s="16">
        <v>602263</v>
      </c>
      <c r="M280" s="16">
        <v>50820</v>
      </c>
      <c r="N280" s="16">
        <v>96559</v>
      </c>
      <c r="O280" s="16">
        <v>30492</v>
      </c>
      <c r="P280" s="16">
        <v>76231</v>
      </c>
      <c r="Q280" s="14" t="s">
        <v>75</v>
      </c>
      <c r="R280" s="14" t="s">
        <v>76</v>
      </c>
      <c r="S280" s="14">
        <v>3</v>
      </c>
      <c r="T280" s="14" t="s">
        <v>82</v>
      </c>
      <c r="U280" s="14" t="s">
        <v>78</v>
      </c>
      <c r="V280" s="14" t="s">
        <v>83</v>
      </c>
    </row>
    <row r="281" spans="1:22" x14ac:dyDescent="0.35">
      <c r="A281" s="17" t="s">
        <v>396</v>
      </c>
      <c r="B281" s="17" t="s">
        <v>388</v>
      </c>
      <c r="C281" s="17" t="s">
        <v>389</v>
      </c>
      <c r="D281" s="17" t="s">
        <v>88</v>
      </c>
      <c r="E281" s="17" t="s">
        <v>101</v>
      </c>
      <c r="F281" s="18">
        <v>1.42</v>
      </c>
      <c r="G281" s="18">
        <v>0.79</v>
      </c>
      <c r="H281" s="18">
        <v>1.1200000000000001</v>
      </c>
      <c r="I281" s="19">
        <v>135542</v>
      </c>
      <c r="J281" s="19">
        <v>151807</v>
      </c>
      <c r="K281" s="19">
        <v>48218</v>
      </c>
      <c r="L281" s="19">
        <v>103589</v>
      </c>
      <c r="M281" s="19">
        <v>9644</v>
      </c>
      <c r="N281" s="19">
        <v>18323</v>
      </c>
      <c r="O281" s="19">
        <v>5786</v>
      </c>
      <c r="P281" s="19">
        <v>14465</v>
      </c>
      <c r="Q281" s="17" t="s">
        <v>86</v>
      </c>
      <c r="R281" s="17" t="s">
        <v>76</v>
      </c>
      <c r="S281" s="17">
        <v>8</v>
      </c>
      <c r="T281" s="17" t="s">
        <v>82</v>
      </c>
      <c r="U281" s="17" t="s">
        <v>78</v>
      </c>
      <c r="V281" s="17" t="s">
        <v>83</v>
      </c>
    </row>
    <row r="282" spans="1:22" x14ac:dyDescent="0.35">
      <c r="A282" s="14" t="s">
        <v>397</v>
      </c>
      <c r="B282" s="14" t="s">
        <v>388</v>
      </c>
      <c r="C282" s="14" t="s">
        <v>389</v>
      </c>
      <c r="D282" s="14" t="s">
        <v>73</v>
      </c>
      <c r="E282" s="14" t="s">
        <v>93</v>
      </c>
      <c r="F282" s="15">
        <v>1.29</v>
      </c>
      <c r="G282" s="15">
        <v>1.41</v>
      </c>
      <c r="H282" s="15">
        <v>1.82</v>
      </c>
      <c r="I282" s="16">
        <v>394539</v>
      </c>
      <c r="J282" s="16">
        <v>718061</v>
      </c>
      <c r="K282" s="16">
        <v>250934</v>
      </c>
      <c r="L282" s="16">
        <v>467127</v>
      </c>
      <c r="M282" s="16">
        <v>50187</v>
      </c>
      <c r="N282" s="16">
        <v>95355</v>
      </c>
      <c r="O282" s="16">
        <v>30112</v>
      </c>
      <c r="P282" s="16">
        <v>75280</v>
      </c>
      <c r="Q282" s="14" t="s">
        <v>75</v>
      </c>
      <c r="R282" s="14" t="s">
        <v>81</v>
      </c>
      <c r="S282" s="14">
        <v>3</v>
      </c>
      <c r="T282" s="14" t="s">
        <v>82</v>
      </c>
      <c r="U282" s="14" t="s">
        <v>78</v>
      </c>
      <c r="V282" s="14" t="s">
        <v>83</v>
      </c>
    </row>
    <row r="283" spans="1:22" x14ac:dyDescent="0.35">
      <c r="A283" s="17" t="s">
        <v>398</v>
      </c>
      <c r="B283" s="17" t="s">
        <v>388</v>
      </c>
      <c r="C283" s="17" t="s">
        <v>389</v>
      </c>
      <c r="D283" s="17" t="s">
        <v>88</v>
      </c>
      <c r="E283" s="17" t="s">
        <v>116</v>
      </c>
      <c r="F283" s="18">
        <v>1.05</v>
      </c>
      <c r="G283" s="18">
        <v>1.78</v>
      </c>
      <c r="H283" s="18">
        <v>1.87</v>
      </c>
      <c r="I283" s="19">
        <v>162151</v>
      </c>
      <c r="J283" s="19">
        <v>303222</v>
      </c>
      <c r="K283" s="19">
        <v>113519</v>
      </c>
      <c r="L283" s="19">
        <v>189703</v>
      </c>
      <c r="M283" s="19">
        <v>22704</v>
      </c>
      <c r="N283" s="19">
        <v>43137</v>
      </c>
      <c r="O283" s="19">
        <v>13622</v>
      </c>
      <c r="P283" s="19">
        <v>34056</v>
      </c>
      <c r="Q283" s="17" t="s">
        <v>86</v>
      </c>
      <c r="R283" s="17" t="s">
        <v>76</v>
      </c>
      <c r="S283" s="17">
        <v>11</v>
      </c>
      <c r="T283" s="17" t="s">
        <v>82</v>
      </c>
      <c r="U283" s="17" t="s">
        <v>78</v>
      </c>
      <c r="V283" s="17" t="s">
        <v>78</v>
      </c>
    </row>
    <row r="284" spans="1:22" x14ac:dyDescent="0.35">
      <c r="A284" s="14" t="s">
        <v>399</v>
      </c>
      <c r="B284" s="14" t="s">
        <v>388</v>
      </c>
      <c r="C284" s="14" t="s">
        <v>389</v>
      </c>
      <c r="D284" s="14" t="s">
        <v>73</v>
      </c>
      <c r="E284" s="14" t="s">
        <v>80</v>
      </c>
      <c r="F284" s="15">
        <v>0.71</v>
      </c>
      <c r="G284" s="15">
        <v>13.78</v>
      </c>
      <c r="H284" s="15">
        <v>9.7799999999999994</v>
      </c>
      <c r="I284" s="16">
        <v>106976</v>
      </c>
      <c r="J284" s="16">
        <v>1046225</v>
      </c>
      <c r="K284" s="16">
        <v>319156</v>
      </c>
      <c r="L284" s="16">
        <v>727069</v>
      </c>
      <c r="M284" s="16">
        <v>63831</v>
      </c>
      <c r="N284" s="16">
        <v>121279</v>
      </c>
      <c r="O284" s="16">
        <v>38299</v>
      </c>
      <c r="P284" s="16">
        <v>95747</v>
      </c>
      <c r="Q284" s="14" t="s">
        <v>86</v>
      </c>
      <c r="R284" s="14" t="s">
        <v>81</v>
      </c>
      <c r="S284" s="14">
        <v>6</v>
      </c>
      <c r="T284" s="14" t="s">
        <v>82</v>
      </c>
      <c r="U284" s="14" t="s">
        <v>78</v>
      </c>
      <c r="V284" s="14" t="s">
        <v>78</v>
      </c>
    </row>
    <row r="285" spans="1:22" x14ac:dyDescent="0.35">
      <c r="A285" s="17" t="s">
        <v>400</v>
      </c>
      <c r="B285" s="17" t="s">
        <v>388</v>
      </c>
      <c r="C285" s="17" t="s">
        <v>401</v>
      </c>
      <c r="D285" s="17" t="s">
        <v>88</v>
      </c>
      <c r="E285" s="17" t="s">
        <v>101</v>
      </c>
      <c r="F285" s="18">
        <v>5.04</v>
      </c>
      <c r="G285" s="18">
        <v>1.06</v>
      </c>
      <c r="H285" s="18">
        <v>5.34</v>
      </c>
      <c r="I285" s="19">
        <v>110728</v>
      </c>
      <c r="J285" s="19">
        <v>591288</v>
      </c>
      <c r="K285" s="19">
        <v>221299</v>
      </c>
      <c r="L285" s="19">
        <v>369989</v>
      </c>
      <c r="M285" s="19">
        <v>44260</v>
      </c>
      <c r="N285" s="19">
        <v>84094</v>
      </c>
      <c r="O285" s="19">
        <v>26556</v>
      </c>
      <c r="P285" s="19">
        <v>66390</v>
      </c>
      <c r="Q285" s="17" t="s">
        <v>86</v>
      </c>
      <c r="R285" s="17" t="s">
        <v>76</v>
      </c>
      <c r="S285" s="17">
        <v>6</v>
      </c>
      <c r="T285" s="17" t="s">
        <v>163</v>
      </c>
      <c r="U285" s="17" t="s">
        <v>83</v>
      </c>
      <c r="V285" s="17" t="s">
        <v>78</v>
      </c>
    </row>
    <row r="286" spans="1:22" x14ac:dyDescent="0.35">
      <c r="A286" s="14" t="s">
        <v>402</v>
      </c>
      <c r="B286" s="14" t="s">
        <v>388</v>
      </c>
      <c r="C286" s="14" t="s">
        <v>401</v>
      </c>
      <c r="D286" s="14" t="s">
        <v>73</v>
      </c>
      <c r="E286" s="14" t="s">
        <v>96</v>
      </c>
      <c r="F286" s="15">
        <v>2.23</v>
      </c>
      <c r="G286" s="15">
        <v>0.85</v>
      </c>
      <c r="H286" s="15">
        <v>1.9</v>
      </c>
      <c r="I286" s="16">
        <v>422003</v>
      </c>
      <c r="J286" s="16">
        <v>801806</v>
      </c>
      <c r="K286" s="16">
        <v>259382</v>
      </c>
      <c r="L286" s="16">
        <v>542424</v>
      </c>
      <c r="M286" s="16">
        <v>51876</v>
      </c>
      <c r="N286" s="16">
        <v>98565</v>
      </c>
      <c r="O286" s="16">
        <v>31126</v>
      </c>
      <c r="P286" s="16">
        <v>77815</v>
      </c>
      <c r="Q286" s="14" t="s">
        <v>86</v>
      </c>
      <c r="R286" s="14" t="s">
        <v>81</v>
      </c>
      <c r="S286" s="14">
        <v>3</v>
      </c>
      <c r="T286" s="14" t="s">
        <v>77</v>
      </c>
      <c r="U286" s="14" t="s">
        <v>78</v>
      </c>
      <c r="V286" s="14" t="s">
        <v>78</v>
      </c>
    </row>
    <row r="287" spans="1:22" x14ac:dyDescent="0.35">
      <c r="A287" s="17" t="s">
        <v>403</v>
      </c>
      <c r="B287" s="17" t="s">
        <v>388</v>
      </c>
      <c r="C287" s="17" t="s">
        <v>401</v>
      </c>
      <c r="D287" s="17" t="s">
        <v>88</v>
      </c>
      <c r="E287" s="17" t="s">
        <v>85</v>
      </c>
      <c r="F287" s="18">
        <v>3.83</v>
      </c>
      <c r="G287" s="18">
        <v>1.01</v>
      </c>
      <c r="H287" s="18">
        <v>3.87</v>
      </c>
      <c r="I287" s="19">
        <v>124863</v>
      </c>
      <c r="J287" s="19">
        <v>483220</v>
      </c>
      <c r="K287" s="19">
        <v>201049</v>
      </c>
      <c r="L287" s="19">
        <v>282171</v>
      </c>
      <c r="M287" s="19">
        <v>40210</v>
      </c>
      <c r="N287" s="19">
        <v>76399</v>
      </c>
      <c r="O287" s="19">
        <v>24126</v>
      </c>
      <c r="P287" s="19">
        <v>60315</v>
      </c>
      <c r="Q287" s="17" t="s">
        <v>86</v>
      </c>
      <c r="R287" s="17" t="s">
        <v>76</v>
      </c>
      <c r="S287" s="17">
        <v>5</v>
      </c>
      <c r="T287" s="17" t="s">
        <v>77</v>
      </c>
      <c r="U287" s="17" t="s">
        <v>78</v>
      </c>
      <c r="V287" s="17" t="s">
        <v>83</v>
      </c>
    </row>
    <row r="288" spans="1:22" x14ac:dyDescent="0.35">
      <c r="A288" s="14" t="s">
        <v>404</v>
      </c>
      <c r="B288" s="14" t="s">
        <v>388</v>
      </c>
      <c r="C288" s="14" t="s">
        <v>401</v>
      </c>
      <c r="D288" s="14" t="s">
        <v>73</v>
      </c>
      <c r="E288" s="14" t="s">
        <v>80</v>
      </c>
      <c r="F288" s="15">
        <v>2.94</v>
      </c>
      <c r="G288" s="15">
        <v>16.22</v>
      </c>
      <c r="H288" s="15">
        <v>47.69</v>
      </c>
      <c r="I288" s="16">
        <v>100514</v>
      </c>
      <c r="J288" s="16">
        <v>4793513</v>
      </c>
      <c r="K288" s="16">
        <v>1348623</v>
      </c>
      <c r="L288" s="16">
        <v>3444890</v>
      </c>
      <c r="M288" s="16">
        <v>269725</v>
      </c>
      <c r="N288" s="16">
        <v>512477</v>
      </c>
      <c r="O288" s="16">
        <v>161835</v>
      </c>
      <c r="P288" s="16">
        <v>404587</v>
      </c>
      <c r="Q288" s="14" t="s">
        <v>90</v>
      </c>
      <c r="R288" s="14" t="s">
        <v>76</v>
      </c>
      <c r="S288" s="14">
        <v>9</v>
      </c>
      <c r="T288" s="14" t="s">
        <v>77</v>
      </c>
      <c r="U288" s="14" t="s">
        <v>83</v>
      </c>
      <c r="V288" s="14" t="s">
        <v>83</v>
      </c>
    </row>
    <row r="289" spans="1:22" x14ac:dyDescent="0.35">
      <c r="A289" s="17" t="s">
        <v>405</v>
      </c>
      <c r="B289" s="17" t="s">
        <v>388</v>
      </c>
      <c r="C289" s="17" t="s">
        <v>401</v>
      </c>
      <c r="D289" s="17" t="s">
        <v>73</v>
      </c>
      <c r="E289" s="17" t="s">
        <v>85</v>
      </c>
      <c r="F289" s="18">
        <v>1.42</v>
      </c>
      <c r="G289" s="18">
        <v>1.81</v>
      </c>
      <c r="H289" s="18">
        <v>2.57</v>
      </c>
      <c r="I289" s="19">
        <v>126873</v>
      </c>
      <c r="J289" s="19">
        <v>326064</v>
      </c>
      <c r="K289" s="19">
        <v>135175</v>
      </c>
      <c r="L289" s="19">
        <v>190889</v>
      </c>
      <c r="M289" s="19">
        <v>27035</v>
      </c>
      <c r="N289" s="19">
        <v>51366</v>
      </c>
      <c r="O289" s="19">
        <v>16221</v>
      </c>
      <c r="P289" s="19">
        <v>40552</v>
      </c>
      <c r="Q289" s="17" t="s">
        <v>86</v>
      </c>
      <c r="R289" s="17" t="s">
        <v>81</v>
      </c>
      <c r="S289" s="17">
        <v>4</v>
      </c>
      <c r="T289" s="17" t="s">
        <v>82</v>
      </c>
      <c r="U289" s="17" t="s">
        <v>78</v>
      </c>
      <c r="V289" s="17" t="s">
        <v>78</v>
      </c>
    </row>
    <row r="290" spans="1:22" x14ac:dyDescent="0.35">
      <c r="A290" s="14" t="s">
        <v>406</v>
      </c>
      <c r="B290" s="14" t="s">
        <v>388</v>
      </c>
      <c r="C290" s="14" t="s">
        <v>401</v>
      </c>
      <c r="D290" s="14" t="s">
        <v>88</v>
      </c>
      <c r="E290" s="14" t="s">
        <v>93</v>
      </c>
      <c r="F290" s="15">
        <v>2.6</v>
      </c>
      <c r="G290" s="15">
        <v>0.86</v>
      </c>
      <c r="H290" s="15">
        <v>2.2400000000000002</v>
      </c>
      <c r="I290" s="16">
        <v>434099</v>
      </c>
      <c r="J290" s="16">
        <v>972382</v>
      </c>
      <c r="K290" s="16">
        <v>283825</v>
      </c>
      <c r="L290" s="16">
        <v>688557</v>
      </c>
      <c r="M290" s="16">
        <v>56765</v>
      </c>
      <c r="N290" s="16">
        <v>107854</v>
      </c>
      <c r="O290" s="16">
        <v>34059</v>
      </c>
      <c r="P290" s="16">
        <v>85148</v>
      </c>
      <c r="Q290" s="14" t="s">
        <v>86</v>
      </c>
      <c r="R290" s="14" t="s">
        <v>76</v>
      </c>
      <c r="S290" s="14">
        <v>9</v>
      </c>
      <c r="T290" s="14" t="s">
        <v>77</v>
      </c>
      <c r="U290" s="14" t="s">
        <v>78</v>
      </c>
      <c r="V290" s="14" t="s">
        <v>83</v>
      </c>
    </row>
    <row r="291" spans="1:22" x14ac:dyDescent="0.35">
      <c r="A291" s="17" t="s">
        <v>407</v>
      </c>
      <c r="B291" s="17" t="s">
        <v>388</v>
      </c>
      <c r="C291" s="17" t="s">
        <v>401</v>
      </c>
      <c r="D291" s="17" t="s">
        <v>73</v>
      </c>
      <c r="E291" s="17" t="s">
        <v>111</v>
      </c>
      <c r="F291" s="18">
        <v>2.02</v>
      </c>
      <c r="G291" s="18">
        <v>1.1499999999999999</v>
      </c>
      <c r="H291" s="18">
        <v>2.3199999999999998</v>
      </c>
      <c r="I291" s="19">
        <v>451305</v>
      </c>
      <c r="J291" s="19">
        <v>1047028</v>
      </c>
      <c r="K291" s="19">
        <v>331425</v>
      </c>
      <c r="L291" s="19">
        <v>715603</v>
      </c>
      <c r="M291" s="19">
        <v>66285</v>
      </c>
      <c r="N291" s="19">
        <v>125942</v>
      </c>
      <c r="O291" s="19">
        <v>39771</v>
      </c>
      <c r="P291" s="19">
        <v>99428</v>
      </c>
      <c r="Q291" s="17" t="s">
        <v>90</v>
      </c>
      <c r="R291" s="17" t="s">
        <v>81</v>
      </c>
      <c r="S291" s="17">
        <v>8</v>
      </c>
      <c r="T291" s="17" t="s">
        <v>77</v>
      </c>
      <c r="U291" s="17" t="s">
        <v>78</v>
      </c>
      <c r="V291" s="17" t="s">
        <v>83</v>
      </c>
    </row>
    <row r="292" spans="1:22" x14ac:dyDescent="0.35">
      <c r="A292" s="14" t="s">
        <v>408</v>
      </c>
      <c r="B292" s="14" t="s">
        <v>388</v>
      </c>
      <c r="C292" s="14" t="s">
        <v>401</v>
      </c>
      <c r="D292" s="14" t="s">
        <v>73</v>
      </c>
      <c r="E292" s="14" t="s">
        <v>85</v>
      </c>
      <c r="F292" s="15">
        <v>0.84</v>
      </c>
      <c r="G292" s="15">
        <v>1.1499999999999999</v>
      </c>
      <c r="H292" s="15">
        <v>0.97</v>
      </c>
      <c r="I292" s="16">
        <v>140918</v>
      </c>
      <c r="J292" s="16">
        <v>136690</v>
      </c>
      <c r="K292" s="16">
        <v>49463</v>
      </c>
      <c r="L292" s="16">
        <v>87227</v>
      </c>
      <c r="M292" s="16">
        <v>9893</v>
      </c>
      <c r="N292" s="16">
        <v>18796</v>
      </c>
      <c r="O292" s="16">
        <v>5936</v>
      </c>
      <c r="P292" s="16">
        <v>14839</v>
      </c>
      <c r="Q292" s="14" t="s">
        <v>86</v>
      </c>
      <c r="R292" s="14" t="s">
        <v>76</v>
      </c>
      <c r="S292" s="14">
        <v>5</v>
      </c>
      <c r="T292" s="14" t="s">
        <v>82</v>
      </c>
      <c r="U292" s="14" t="s">
        <v>78</v>
      </c>
      <c r="V292" s="14" t="s">
        <v>83</v>
      </c>
    </row>
    <row r="293" spans="1:22" x14ac:dyDescent="0.35">
      <c r="A293" s="17" t="s">
        <v>409</v>
      </c>
      <c r="B293" s="17" t="s">
        <v>388</v>
      </c>
      <c r="C293" s="17" t="s">
        <v>401</v>
      </c>
      <c r="D293" s="17" t="s">
        <v>88</v>
      </c>
      <c r="E293" s="17" t="s">
        <v>101</v>
      </c>
      <c r="F293" s="18">
        <v>1.1599999999999999</v>
      </c>
      <c r="G293" s="18">
        <v>0.93</v>
      </c>
      <c r="H293" s="18">
        <v>1.08</v>
      </c>
      <c r="I293" s="19">
        <v>135138</v>
      </c>
      <c r="J293" s="19">
        <v>145949</v>
      </c>
      <c r="K293" s="19">
        <v>50100</v>
      </c>
      <c r="L293" s="19">
        <v>95849</v>
      </c>
      <c r="M293" s="19">
        <v>10020</v>
      </c>
      <c r="N293" s="19">
        <v>19038</v>
      </c>
      <c r="O293" s="19">
        <v>6012</v>
      </c>
      <c r="P293" s="19">
        <v>15030</v>
      </c>
      <c r="Q293" s="17" t="s">
        <v>90</v>
      </c>
      <c r="R293" s="17" t="s">
        <v>81</v>
      </c>
      <c r="S293" s="17">
        <v>4</v>
      </c>
      <c r="T293" s="17" t="s">
        <v>82</v>
      </c>
      <c r="U293" s="17" t="s">
        <v>78</v>
      </c>
      <c r="V293" s="17" t="s">
        <v>78</v>
      </c>
    </row>
    <row r="294" spans="1:22" x14ac:dyDescent="0.35">
      <c r="A294" s="14" t="s">
        <v>410</v>
      </c>
      <c r="B294" s="14" t="s">
        <v>388</v>
      </c>
      <c r="C294" s="14" t="s">
        <v>401</v>
      </c>
      <c r="D294" s="14" t="s">
        <v>73</v>
      </c>
      <c r="E294" s="14" t="s">
        <v>85</v>
      </c>
      <c r="F294" s="15">
        <v>1.47</v>
      </c>
      <c r="G294" s="15">
        <v>1.7</v>
      </c>
      <c r="H294" s="15">
        <v>2.5</v>
      </c>
      <c r="I294" s="16">
        <v>116285</v>
      </c>
      <c r="J294" s="16">
        <v>290712</v>
      </c>
      <c r="K294" s="16">
        <v>110343</v>
      </c>
      <c r="L294" s="16">
        <v>180369</v>
      </c>
      <c r="M294" s="16">
        <v>22069</v>
      </c>
      <c r="N294" s="16">
        <v>41930</v>
      </c>
      <c r="O294" s="16">
        <v>13241</v>
      </c>
      <c r="P294" s="16">
        <v>33103</v>
      </c>
      <c r="Q294" s="14" t="s">
        <v>90</v>
      </c>
      <c r="R294" s="14" t="s">
        <v>81</v>
      </c>
      <c r="S294" s="14">
        <v>11</v>
      </c>
      <c r="T294" s="14" t="s">
        <v>82</v>
      </c>
      <c r="U294" s="14" t="s">
        <v>78</v>
      </c>
      <c r="V294" s="14" t="s">
        <v>83</v>
      </c>
    </row>
    <row r="295" spans="1:22" x14ac:dyDescent="0.35">
      <c r="A295" s="17" t="s">
        <v>411</v>
      </c>
      <c r="B295" s="17" t="s">
        <v>388</v>
      </c>
      <c r="C295" s="17" t="s">
        <v>401</v>
      </c>
      <c r="D295" s="17" t="s">
        <v>88</v>
      </c>
      <c r="E295" s="17" t="s">
        <v>85</v>
      </c>
      <c r="F295" s="18">
        <v>4.1900000000000004</v>
      </c>
      <c r="G295" s="18">
        <v>0.96</v>
      </c>
      <c r="H295" s="18">
        <v>4.0199999999999996</v>
      </c>
      <c r="I295" s="19">
        <v>147632</v>
      </c>
      <c r="J295" s="19">
        <v>593481</v>
      </c>
      <c r="K295" s="19">
        <v>237181</v>
      </c>
      <c r="L295" s="19">
        <v>356300</v>
      </c>
      <c r="M295" s="19">
        <v>47436</v>
      </c>
      <c r="N295" s="19">
        <v>90129</v>
      </c>
      <c r="O295" s="19">
        <v>28462</v>
      </c>
      <c r="P295" s="19">
        <v>71154</v>
      </c>
      <c r="Q295" s="17" t="s">
        <v>75</v>
      </c>
      <c r="R295" s="17" t="s">
        <v>76</v>
      </c>
      <c r="S295" s="17">
        <v>4</v>
      </c>
      <c r="T295" s="17" t="s">
        <v>77</v>
      </c>
      <c r="U295" s="17" t="s">
        <v>78</v>
      </c>
      <c r="V295" s="17" t="s">
        <v>78</v>
      </c>
    </row>
    <row r="296" spans="1:22" x14ac:dyDescent="0.35">
      <c r="A296" s="14" t="s">
        <v>412</v>
      </c>
      <c r="B296" s="14" t="s">
        <v>388</v>
      </c>
      <c r="C296" s="14" t="s">
        <v>401</v>
      </c>
      <c r="D296" s="14" t="s">
        <v>73</v>
      </c>
      <c r="E296" s="14" t="s">
        <v>116</v>
      </c>
      <c r="F296" s="15">
        <v>0.54</v>
      </c>
      <c r="G296" s="15">
        <v>2.16</v>
      </c>
      <c r="H296" s="15">
        <v>1.17</v>
      </c>
      <c r="I296" s="16">
        <v>165992</v>
      </c>
      <c r="J296" s="16">
        <v>194211</v>
      </c>
      <c r="K296" s="16">
        <v>57933</v>
      </c>
      <c r="L296" s="16">
        <v>136278</v>
      </c>
      <c r="M296" s="16">
        <v>11587</v>
      </c>
      <c r="N296" s="16">
        <v>22015</v>
      </c>
      <c r="O296" s="16">
        <v>6952</v>
      </c>
      <c r="P296" s="16">
        <v>17380</v>
      </c>
      <c r="Q296" s="14" t="s">
        <v>90</v>
      </c>
      <c r="R296" s="14" t="s">
        <v>81</v>
      </c>
      <c r="S296" s="14">
        <v>4</v>
      </c>
      <c r="T296" s="14" t="s">
        <v>82</v>
      </c>
      <c r="U296" s="14" t="s">
        <v>83</v>
      </c>
      <c r="V296" s="14" t="s">
        <v>83</v>
      </c>
    </row>
    <row r="297" spans="1:22" x14ac:dyDescent="0.35">
      <c r="A297" s="17" t="s">
        <v>413</v>
      </c>
      <c r="B297" s="17" t="s">
        <v>388</v>
      </c>
      <c r="C297" s="17" t="s">
        <v>401</v>
      </c>
      <c r="D297" s="17" t="s">
        <v>73</v>
      </c>
      <c r="E297" s="17" t="s">
        <v>85</v>
      </c>
      <c r="F297" s="18">
        <v>0.6</v>
      </c>
      <c r="G297" s="18">
        <v>1.03</v>
      </c>
      <c r="H297" s="18">
        <v>0.62</v>
      </c>
      <c r="I297" s="19">
        <v>145697</v>
      </c>
      <c r="J297" s="19">
        <v>90332</v>
      </c>
      <c r="K297" s="19">
        <v>30901</v>
      </c>
      <c r="L297" s="19">
        <v>59431</v>
      </c>
      <c r="M297" s="19">
        <v>6180</v>
      </c>
      <c r="N297" s="19">
        <v>11742</v>
      </c>
      <c r="O297" s="19">
        <v>3708</v>
      </c>
      <c r="P297" s="19">
        <v>9270</v>
      </c>
      <c r="Q297" s="17" t="s">
        <v>86</v>
      </c>
      <c r="R297" s="17" t="s">
        <v>76</v>
      </c>
      <c r="S297" s="17">
        <v>8</v>
      </c>
      <c r="T297" s="17" t="s">
        <v>82</v>
      </c>
      <c r="U297" s="17" t="s">
        <v>78</v>
      </c>
      <c r="V297" s="17" t="s">
        <v>78</v>
      </c>
    </row>
    <row r="298" spans="1:22" x14ac:dyDescent="0.35">
      <c r="A298" s="14" t="s">
        <v>414</v>
      </c>
      <c r="B298" s="14" t="s">
        <v>388</v>
      </c>
      <c r="C298" s="14" t="s">
        <v>401</v>
      </c>
      <c r="D298" s="14" t="s">
        <v>73</v>
      </c>
      <c r="E298" s="14" t="s">
        <v>105</v>
      </c>
      <c r="F298" s="15">
        <v>0.75</v>
      </c>
      <c r="G298" s="15">
        <v>1.36</v>
      </c>
      <c r="H298" s="15">
        <v>1.02</v>
      </c>
      <c r="I298" s="16">
        <v>460532</v>
      </c>
      <c r="J298" s="16">
        <v>469743</v>
      </c>
      <c r="K298" s="16">
        <v>157505</v>
      </c>
      <c r="L298" s="16">
        <v>312238</v>
      </c>
      <c r="M298" s="16">
        <v>31501</v>
      </c>
      <c r="N298" s="16">
        <v>59852</v>
      </c>
      <c r="O298" s="16">
        <v>18901</v>
      </c>
      <c r="P298" s="16">
        <v>47252</v>
      </c>
      <c r="Q298" s="14" t="s">
        <v>86</v>
      </c>
      <c r="R298" s="14" t="s">
        <v>81</v>
      </c>
      <c r="S298" s="14">
        <v>9</v>
      </c>
      <c r="T298" s="14" t="s">
        <v>82</v>
      </c>
      <c r="U298" s="14" t="s">
        <v>78</v>
      </c>
      <c r="V298" s="14" t="s">
        <v>83</v>
      </c>
    </row>
    <row r="299" spans="1:22" x14ac:dyDescent="0.35">
      <c r="A299" s="17" t="s">
        <v>415</v>
      </c>
      <c r="B299" s="17" t="s">
        <v>388</v>
      </c>
      <c r="C299" s="17" t="s">
        <v>416</v>
      </c>
      <c r="D299" s="17" t="s">
        <v>88</v>
      </c>
      <c r="E299" s="17" t="s">
        <v>116</v>
      </c>
      <c r="F299" s="18">
        <v>1.48</v>
      </c>
      <c r="G299" s="18">
        <v>1.88</v>
      </c>
      <c r="H299" s="18">
        <v>2.78</v>
      </c>
      <c r="I299" s="19">
        <v>124757</v>
      </c>
      <c r="J299" s="19">
        <v>346824</v>
      </c>
      <c r="K299" s="19">
        <v>127175</v>
      </c>
      <c r="L299" s="19">
        <v>219649</v>
      </c>
      <c r="M299" s="19">
        <v>25435</v>
      </c>
      <c r="N299" s="19">
        <v>48326</v>
      </c>
      <c r="O299" s="19">
        <v>15261</v>
      </c>
      <c r="P299" s="19">
        <v>38152</v>
      </c>
      <c r="Q299" s="17" t="s">
        <v>86</v>
      </c>
      <c r="R299" s="17" t="s">
        <v>81</v>
      </c>
      <c r="S299" s="17">
        <v>10</v>
      </c>
      <c r="T299" s="17" t="s">
        <v>82</v>
      </c>
      <c r="U299" s="17" t="s">
        <v>78</v>
      </c>
      <c r="V299" s="17" t="s">
        <v>83</v>
      </c>
    </row>
    <row r="300" spans="1:22" x14ac:dyDescent="0.35">
      <c r="A300" s="14" t="s">
        <v>417</v>
      </c>
      <c r="B300" s="14" t="s">
        <v>388</v>
      </c>
      <c r="C300" s="14" t="s">
        <v>416</v>
      </c>
      <c r="D300" s="14" t="s">
        <v>73</v>
      </c>
      <c r="E300" s="14" t="s">
        <v>105</v>
      </c>
      <c r="F300" s="15">
        <v>0.54</v>
      </c>
      <c r="G300" s="15">
        <v>1.21</v>
      </c>
      <c r="H300" s="15">
        <v>0.65</v>
      </c>
      <c r="I300" s="16">
        <v>409824</v>
      </c>
      <c r="J300" s="16">
        <v>266386</v>
      </c>
      <c r="K300" s="16">
        <v>98555</v>
      </c>
      <c r="L300" s="16">
        <v>167831</v>
      </c>
      <c r="M300" s="16">
        <v>19711</v>
      </c>
      <c r="N300" s="16">
        <v>37451</v>
      </c>
      <c r="O300" s="16">
        <v>11827</v>
      </c>
      <c r="P300" s="16">
        <v>29566</v>
      </c>
      <c r="Q300" s="14" t="s">
        <v>75</v>
      </c>
      <c r="R300" s="14" t="s">
        <v>76</v>
      </c>
      <c r="S300" s="14">
        <v>11</v>
      </c>
      <c r="T300" s="14" t="s">
        <v>82</v>
      </c>
      <c r="U300" s="14" t="s">
        <v>78</v>
      </c>
      <c r="V300" s="14" t="s">
        <v>83</v>
      </c>
    </row>
    <row r="301" spans="1:22" x14ac:dyDescent="0.35">
      <c r="A301" s="17" t="s">
        <v>418</v>
      </c>
      <c r="B301" s="17" t="s">
        <v>388</v>
      </c>
      <c r="C301" s="17" t="s">
        <v>416</v>
      </c>
      <c r="D301" s="17" t="s">
        <v>88</v>
      </c>
      <c r="E301" s="17" t="s">
        <v>101</v>
      </c>
      <c r="F301" s="18">
        <v>3.49</v>
      </c>
      <c r="G301" s="18">
        <v>1.01</v>
      </c>
      <c r="H301" s="18">
        <v>3.52</v>
      </c>
      <c r="I301" s="19">
        <v>140475</v>
      </c>
      <c r="J301" s="19">
        <v>494472</v>
      </c>
      <c r="K301" s="19">
        <v>173231</v>
      </c>
      <c r="L301" s="19">
        <v>321241</v>
      </c>
      <c r="M301" s="19">
        <v>34646</v>
      </c>
      <c r="N301" s="19">
        <v>65828</v>
      </c>
      <c r="O301" s="19">
        <v>20788</v>
      </c>
      <c r="P301" s="19">
        <v>51969</v>
      </c>
      <c r="Q301" s="17" t="s">
        <v>90</v>
      </c>
      <c r="R301" s="17" t="s">
        <v>81</v>
      </c>
      <c r="S301" s="17">
        <v>5</v>
      </c>
      <c r="T301" s="17" t="s">
        <v>77</v>
      </c>
      <c r="U301" s="17" t="s">
        <v>78</v>
      </c>
      <c r="V301" s="17" t="s">
        <v>83</v>
      </c>
    </row>
    <row r="302" spans="1:22" x14ac:dyDescent="0.35">
      <c r="A302" s="14" t="s">
        <v>419</v>
      </c>
      <c r="B302" s="14" t="s">
        <v>388</v>
      </c>
      <c r="C302" s="14" t="s">
        <v>416</v>
      </c>
      <c r="D302" s="14" t="s">
        <v>73</v>
      </c>
      <c r="E302" s="14" t="s">
        <v>111</v>
      </c>
      <c r="F302" s="15">
        <v>0.6</v>
      </c>
      <c r="G302" s="15">
        <v>1.07</v>
      </c>
      <c r="H302" s="15">
        <v>0.64</v>
      </c>
      <c r="I302" s="16">
        <v>457797</v>
      </c>
      <c r="J302" s="16">
        <v>292990</v>
      </c>
      <c r="K302" s="16">
        <v>115207</v>
      </c>
      <c r="L302" s="16">
        <v>177783</v>
      </c>
      <c r="M302" s="16">
        <v>23041</v>
      </c>
      <c r="N302" s="16">
        <v>43779</v>
      </c>
      <c r="O302" s="16">
        <v>13825</v>
      </c>
      <c r="P302" s="16">
        <v>34562</v>
      </c>
      <c r="Q302" s="14" t="s">
        <v>90</v>
      </c>
      <c r="R302" s="14" t="s">
        <v>81</v>
      </c>
      <c r="S302" s="14">
        <v>12</v>
      </c>
      <c r="T302" s="14" t="s">
        <v>82</v>
      </c>
      <c r="U302" s="14" t="s">
        <v>78</v>
      </c>
      <c r="V302" s="14" t="s">
        <v>78</v>
      </c>
    </row>
    <row r="303" spans="1:22" x14ac:dyDescent="0.35">
      <c r="A303" s="17" t="s">
        <v>420</v>
      </c>
      <c r="B303" s="17" t="s">
        <v>388</v>
      </c>
      <c r="C303" s="17" t="s">
        <v>416</v>
      </c>
      <c r="D303" s="17" t="s">
        <v>73</v>
      </c>
      <c r="E303" s="17" t="s">
        <v>74</v>
      </c>
      <c r="F303" s="18">
        <v>2.0699999999999998</v>
      </c>
      <c r="G303" s="18">
        <v>7.31</v>
      </c>
      <c r="H303" s="18">
        <v>15.13</v>
      </c>
      <c r="I303" s="19">
        <v>197079</v>
      </c>
      <c r="J303" s="19">
        <v>2981805</v>
      </c>
      <c r="K303" s="19">
        <v>1217818</v>
      </c>
      <c r="L303" s="19">
        <v>1763987</v>
      </c>
      <c r="M303" s="19">
        <v>243564</v>
      </c>
      <c r="N303" s="19">
        <v>462771</v>
      </c>
      <c r="O303" s="19">
        <v>146138</v>
      </c>
      <c r="P303" s="19">
        <v>365345</v>
      </c>
      <c r="Q303" s="17" t="s">
        <v>86</v>
      </c>
      <c r="R303" s="17" t="s">
        <v>76</v>
      </c>
      <c r="S303" s="17">
        <v>12</v>
      </c>
      <c r="T303" s="17" t="s">
        <v>77</v>
      </c>
      <c r="U303" s="17" t="s">
        <v>78</v>
      </c>
      <c r="V303" s="17" t="s">
        <v>83</v>
      </c>
    </row>
    <row r="304" spans="1:22" x14ac:dyDescent="0.35">
      <c r="A304" s="14" t="s">
        <v>421</v>
      </c>
      <c r="B304" s="14" t="s">
        <v>388</v>
      </c>
      <c r="C304" s="14" t="s">
        <v>416</v>
      </c>
      <c r="D304" s="14" t="s">
        <v>73</v>
      </c>
      <c r="E304" s="14" t="s">
        <v>116</v>
      </c>
      <c r="F304" s="15">
        <v>1.33</v>
      </c>
      <c r="G304" s="15">
        <v>1.6</v>
      </c>
      <c r="H304" s="15">
        <v>2.13</v>
      </c>
      <c r="I304" s="16">
        <v>155358</v>
      </c>
      <c r="J304" s="16">
        <v>330913</v>
      </c>
      <c r="K304" s="16">
        <v>109277</v>
      </c>
      <c r="L304" s="16">
        <v>221636</v>
      </c>
      <c r="M304" s="16">
        <v>21855</v>
      </c>
      <c r="N304" s="16">
        <v>41525</v>
      </c>
      <c r="O304" s="16">
        <v>13113</v>
      </c>
      <c r="P304" s="16">
        <v>32783</v>
      </c>
      <c r="Q304" s="14" t="s">
        <v>75</v>
      </c>
      <c r="R304" s="14" t="s">
        <v>76</v>
      </c>
      <c r="S304" s="14">
        <v>8</v>
      </c>
      <c r="T304" s="14" t="s">
        <v>82</v>
      </c>
      <c r="U304" s="14" t="s">
        <v>83</v>
      </c>
      <c r="V304" s="14" t="s">
        <v>83</v>
      </c>
    </row>
    <row r="305" spans="1:22" x14ac:dyDescent="0.35">
      <c r="A305" s="17" t="s">
        <v>422</v>
      </c>
      <c r="B305" s="17" t="s">
        <v>388</v>
      </c>
      <c r="C305" s="17" t="s">
        <v>416</v>
      </c>
      <c r="D305" s="17" t="s">
        <v>73</v>
      </c>
      <c r="E305" s="17" t="s">
        <v>116</v>
      </c>
      <c r="F305" s="18">
        <v>3.43</v>
      </c>
      <c r="G305" s="18">
        <v>2.14</v>
      </c>
      <c r="H305" s="18">
        <v>7.34</v>
      </c>
      <c r="I305" s="19">
        <v>165462</v>
      </c>
      <c r="J305" s="19">
        <v>1214491</v>
      </c>
      <c r="K305" s="19">
        <v>432234</v>
      </c>
      <c r="L305" s="19">
        <v>782257</v>
      </c>
      <c r="M305" s="19">
        <v>86447</v>
      </c>
      <c r="N305" s="19">
        <v>164249</v>
      </c>
      <c r="O305" s="19">
        <v>51868</v>
      </c>
      <c r="P305" s="19">
        <v>129670</v>
      </c>
      <c r="Q305" s="17" t="s">
        <v>86</v>
      </c>
      <c r="R305" s="17" t="s">
        <v>81</v>
      </c>
      <c r="S305" s="17">
        <v>3</v>
      </c>
      <c r="T305" s="17" t="s">
        <v>77</v>
      </c>
      <c r="U305" s="17" t="s">
        <v>78</v>
      </c>
      <c r="V305" s="17" t="s">
        <v>78</v>
      </c>
    </row>
    <row r="306" spans="1:22" x14ac:dyDescent="0.35">
      <c r="A306" s="14" t="s">
        <v>423</v>
      </c>
      <c r="B306" s="14" t="s">
        <v>388</v>
      </c>
      <c r="C306" s="14" t="s">
        <v>416</v>
      </c>
      <c r="D306" s="14" t="s">
        <v>73</v>
      </c>
      <c r="E306" s="14" t="s">
        <v>98</v>
      </c>
      <c r="F306" s="15">
        <v>0.56000000000000005</v>
      </c>
      <c r="G306" s="15">
        <v>2.17</v>
      </c>
      <c r="H306" s="15">
        <v>1.22</v>
      </c>
      <c r="I306" s="16">
        <v>313342</v>
      </c>
      <c r="J306" s="16">
        <v>382277</v>
      </c>
      <c r="K306" s="16">
        <v>139905</v>
      </c>
      <c r="L306" s="16">
        <v>242372</v>
      </c>
      <c r="M306" s="16">
        <v>27981</v>
      </c>
      <c r="N306" s="16">
        <v>53164</v>
      </c>
      <c r="O306" s="16">
        <v>16789</v>
      </c>
      <c r="P306" s="16">
        <v>41972</v>
      </c>
      <c r="Q306" s="14" t="s">
        <v>86</v>
      </c>
      <c r="R306" s="14" t="s">
        <v>81</v>
      </c>
      <c r="S306" s="14">
        <v>5</v>
      </c>
      <c r="T306" s="14" t="s">
        <v>82</v>
      </c>
      <c r="U306" s="14" t="s">
        <v>78</v>
      </c>
      <c r="V306" s="14" t="s">
        <v>78</v>
      </c>
    </row>
    <row r="307" spans="1:22" x14ac:dyDescent="0.35">
      <c r="A307" s="17" t="s">
        <v>424</v>
      </c>
      <c r="B307" s="17" t="s">
        <v>388</v>
      </c>
      <c r="C307" s="17" t="s">
        <v>416</v>
      </c>
      <c r="D307" s="17" t="s">
        <v>73</v>
      </c>
      <c r="E307" s="17" t="s">
        <v>80</v>
      </c>
      <c r="F307" s="18">
        <v>3.14</v>
      </c>
      <c r="G307" s="18">
        <v>18.760000000000002</v>
      </c>
      <c r="H307" s="18">
        <v>58.91</v>
      </c>
      <c r="I307" s="19">
        <v>102819</v>
      </c>
      <c r="J307" s="19">
        <v>6057067</v>
      </c>
      <c r="K307" s="19">
        <v>2413786</v>
      </c>
      <c r="L307" s="19">
        <v>3643281</v>
      </c>
      <c r="M307" s="19">
        <v>482757</v>
      </c>
      <c r="N307" s="19">
        <v>917239</v>
      </c>
      <c r="O307" s="19">
        <v>289654</v>
      </c>
      <c r="P307" s="19">
        <v>724136</v>
      </c>
      <c r="Q307" s="17" t="s">
        <v>90</v>
      </c>
      <c r="R307" s="17" t="s">
        <v>76</v>
      </c>
      <c r="S307" s="17">
        <v>8</v>
      </c>
      <c r="T307" s="17" t="s">
        <v>77</v>
      </c>
      <c r="U307" s="17" t="s">
        <v>83</v>
      </c>
      <c r="V307" s="17" t="s">
        <v>83</v>
      </c>
    </row>
    <row r="308" spans="1:22" x14ac:dyDescent="0.35">
      <c r="A308" s="14" t="s">
        <v>425</v>
      </c>
      <c r="B308" s="14" t="s">
        <v>388</v>
      </c>
      <c r="C308" s="14" t="s">
        <v>416</v>
      </c>
      <c r="D308" s="14" t="s">
        <v>73</v>
      </c>
      <c r="E308" s="14" t="s">
        <v>96</v>
      </c>
      <c r="F308" s="15">
        <v>1.04</v>
      </c>
      <c r="G308" s="15">
        <v>0.63</v>
      </c>
      <c r="H308" s="15">
        <v>0.66</v>
      </c>
      <c r="I308" s="16">
        <v>445676</v>
      </c>
      <c r="J308" s="16">
        <v>294146</v>
      </c>
      <c r="K308" s="16">
        <v>112519</v>
      </c>
      <c r="L308" s="16">
        <v>181627</v>
      </c>
      <c r="M308" s="16">
        <v>22504</v>
      </c>
      <c r="N308" s="16">
        <v>42757</v>
      </c>
      <c r="O308" s="16">
        <v>13502</v>
      </c>
      <c r="P308" s="16">
        <v>33756</v>
      </c>
      <c r="Q308" s="14" t="s">
        <v>90</v>
      </c>
      <c r="R308" s="14" t="s">
        <v>81</v>
      </c>
      <c r="S308" s="14">
        <v>8</v>
      </c>
      <c r="T308" s="14" t="s">
        <v>82</v>
      </c>
      <c r="U308" s="14" t="s">
        <v>78</v>
      </c>
      <c r="V308" s="14" t="s">
        <v>83</v>
      </c>
    </row>
    <row r="309" spans="1:22" x14ac:dyDescent="0.35">
      <c r="A309" s="17" t="s">
        <v>426</v>
      </c>
      <c r="B309" s="17" t="s">
        <v>388</v>
      </c>
      <c r="C309" s="17" t="s">
        <v>416</v>
      </c>
      <c r="D309" s="17" t="s">
        <v>88</v>
      </c>
      <c r="E309" s="17" t="s">
        <v>93</v>
      </c>
      <c r="F309" s="18">
        <v>1.17</v>
      </c>
      <c r="G309" s="18">
        <v>0.98</v>
      </c>
      <c r="H309" s="18">
        <v>1.1499999999999999</v>
      </c>
      <c r="I309" s="19">
        <v>342990</v>
      </c>
      <c r="J309" s="19">
        <v>394438</v>
      </c>
      <c r="K309" s="19">
        <v>127386</v>
      </c>
      <c r="L309" s="19">
        <v>267052</v>
      </c>
      <c r="M309" s="19">
        <v>25477</v>
      </c>
      <c r="N309" s="19">
        <v>48407</v>
      </c>
      <c r="O309" s="19">
        <v>15286</v>
      </c>
      <c r="P309" s="19">
        <v>38216</v>
      </c>
      <c r="Q309" s="17" t="s">
        <v>75</v>
      </c>
      <c r="R309" s="17" t="s">
        <v>81</v>
      </c>
      <c r="S309" s="17">
        <v>5</v>
      </c>
      <c r="T309" s="17" t="s">
        <v>82</v>
      </c>
      <c r="U309" s="17" t="s">
        <v>78</v>
      </c>
      <c r="V309" s="17" t="s">
        <v>83</v>
      </c>
    </row>
    <row r="310" spans="1:22" x14ac:dyDescent="0.35">
      <c r="A310" s="14" t="s">
        <v>427</v>
      </c>
      <c r="B310" s="14" t="s">
        <v>388</v>
      </c>
      <c r="C310" s="14" t="s">
        <v>428</v>
      </c>
      <c r="D310" s="14" t="s">
        <v>88</v>
      </c>
      <c r="E310" s="14" t="s">
        <v>111</v>
      </c>
      <c r="F310" s="15">
        <v>3.48</v>
      </c>
      <c r="G310" s="15">
        <v>0.89</v>
      </c>
      <c r="H310" s="15">
        <v>3.1</v>
      </c>
      <c r="I310" s="16">
        <v>499920</v>
      </c>
      <c r="J310" s="16">
        <v>1549752</v>
      </c>
      <c r="K310" s="16">
        <v>473436</v>
      </c>
      <c r="L310" s="16">
        <v>1076316</v>
      </c>
      <c r="M310" s="16">
        <v>94687</v>
      </c>
      <c r="N310" s="16">
        <v>179906</v>
      </c>
      <c r="O310" s="16">
        <v>56812</v>
      </c>
      <c r="P310" s="16">
        <v>142031</v>
      </c>
      <c r="Q310" s="14" t="s">
        <v>90</v>
      </c>
      <c r="R310" s="14" t="s">
        <v>76</v>
      </c>
      <c r="S310" s="14">
        <v>12</v>
      </c>
      <c r="T310" s="14" t="s">
        <v>77</v>
      </c>
      <c r="U310" s="14" t="s">
        <v>78</v>
      </c>
      <c r="V310" s="14" t="s">
        <v>83</v>
      </c>
    </row>
    <row r="311" spans="1:22" x14ac:dyDescent="0.35">
      <c r="A311" s="17" t="s">
        <v>429</v>
      </c>
      <c r="B311" s="17" t="s">
        <v>388</v>
      </c>
      <c r="C311" s="17" t="s">
        <v>428</v>
      </c>
      <c r="D311" s="17" t="s">
        <v>88</v>
      </c>
      <c r="E311" s="17" t="s">
        <v>116</v>
      </c>
      <c r="F311" s="18">
        <v>3.11</v>
      </c>
      <c r="G311" s="18">
        <v>1.29</v>
      </c>
      <c r="H311" s="18">
        <v>4.01</v>
      </c>
      <c r="I311" s="19">
        <v>165984</v>
      </c>
      <c r="J311" s="19">
        <v>665596</v>
      </c>
      <c r="K311" s="19">
        <v>202011</v>
      </c>
      <c r="L311" s="19">
        <v>463585</v>
      </c>
      <c r="M311" s="19">
        <v>40402</v>
      </c>
      <c r="N311" s="19">
        <v>76764</v>
      </c>
      <c r="O311" s="19">
        <v>24241</v>
      </c>
      <c r="P311" s="19">
        <v>60603</v>
      </c>
      <c r="Q311" s="17" t="s">
        <v>86</v>
      </c>
      <c r="R311" s="17" t="s">
        <v>81</v>
      </c>
      <c r="S311" s="17">
        <v>10</v>
      </c>
      <c r="T311" s="17" t="s">
        <v>77</v>
      </c>
      <c r="U311" s="17" t="s">
        <v>78</v>
      </c>
      <c r="V311" s="17" t="s">
        <v>83</v>
      </c>
    </row>
    <row r="312" spans="1:22" x14ac:dyDescent="0.35">
      <c r="A312" s="14" t="s">
        <v>430</v>
      </c>
      <c r="B312" s="14" t="s">
        <v>388</v>
      </c>
      <c r="C312" s="14" t="s">
        <v>428</v>
      </c>
      <c r="D312" s="14" t="s">
        <v>73</v>
      </c>
      <c r="E312" s="14" t="s">
        <v>98</v>
      </c>
      <c r="F312" s="15">
        <v>2.58</v>
      </c>
      <c r="G312" s="15">
        <v>2</v>
      </c>
      <c r="H312" s="15">
        <v>5.16</v>
      </c>
      <c r="I312" s="16">
        <v>358415</v>
      </c>
      <c r="J312" s="16">
        <v>1849421</v>
      </c>
      <c r="K312" s="16">
        <v>704367</v>
      </c>
      <c r="L312" s="16">
        <v>1145054</v>
      </c>
      <c r="M312" s="16">
        <v>140873</v>
      </c>
      <c r="N312" s="16">
        <v>267659</v>
      </c>
      <c r="O312" s="16">
        <v>84524</v>
      </c>
      <c r="P312" s="16">
        <v>211310</v>
      </c>
      <c r="Q312" s="14" t="s">
        <v>86</v>
      </c>
      <c r="R312" s="14" t="s">
        <v>81</v>
      </c>
      <c r="S312" s="14">
        <v>10</v>
      </c>
      <c r="T312" s="14" t="s">
        <v>77</v>
      </c>
      <c r="U312" s="14" t="s">
        <v>83</v>
      </c>
      <c r="V312" s="14" t="s">
        <v>83</v>
      </c>
    </row>
    <row r="313" spans="1:22" x14ac:dyDescent="0.35">
      <c r="A313" s="17" t="s">
        <v>431</v>
      </c>
      <c r="B313" s="17" t="s">
        <v>388</v>
      </c>
      <c r="C313" s="17" t="s">
        <v>428</v>
      </c>
      <c r="D313" s="17" t="s">
        <v>88</v>
      </c>
      <c r="E313" s="17" t="s">
        <v>116</v>
      </c>
      <c r="F313" s="18">
        <v>2.23</v>
      </c>
      <c r="G313" s="18">
        <v>1.42</v>
      </c>
      <c r="H313" s="18">
        <v>3.17</v>
      </c>
      <c r="I313" s="19">
        <v>147002</v>
      </c>
      <c r="J313" s="19">
        <v>465996</v>
      </c>
      <c r="K313" s="19">
        <v>137096</v>
      </c>
      <c r="L313" s="19">
        <v>328900</v>
      </c>
      <c r="M313" s="19">
        <v>27419</v>
      </c>
      <c r="N313" s="19">
        <v>52096</v>
      </c>
      <c r="O313" s="19">
        <v>16452</v>
      </c>
      <c r="P313" s="19">
        <v>41129</v>
      </c>
      <c r="Q313" s="17" t="s">
        <v>90</v>
      </c>
      <c r="R313" s="17" t="s">
        <v>76</v>
      </c>
      <c r="S313" s="17">
        <v>5</v>
      </c>
      <c r="T313" s="17" t="s">
        <v>77</v>
      </c>
      <c r="U313" s="17" t="s">
        <v>78</v>
      </c>
      <c r="V313" s="17" t="s">
        <v>78</v>
      </c>
    </row>
    <row r="314" spans="1:22" x14ac:dyDescent="0.35">
      <c r="A314" s="14" t="s">
        <v>432</v>
      </c>
      <c r="B314" s="14" t="s">
        <v>388</v>
      </c>
      <c r="C314" s="14" t="s">
        <v>428</v>
      </c>
      <c r="D314" s="14" t="s">
        <v>88</v>
      </c>
      <c r="E314" s="14" t="s">
        <v>80</v>
      </c>
      <c r="F314" s="15">
        <v>0.59</v>
      </c>
      <c r="G314" s="15">
        <v>10.92</v>
      </c>
      <c r="H314" s="15">
        <v>6.44</v>
      </c>
      <c r="I314" s="16">
        <v>83735</v>
      </c>
      <c r="J314" s="16">
        <v>539253</v>
      </c>
      <c r="K314" s="16">
        <v>176796</v>
      </c>
      <c r="L314" s="16">
        <v>362457</v>
      </c>
      <c r="M314" s="16">
        <v>35359</v>
      </c>
      <c r="N314" s="16">
        <v>67182</v>
      </c>
      <c r="O314" s="16">
        <v>21216</v>
      </c>
      <c r="P314" s="16">
        <v>53039</v>
      </c>
      <c r="Q314" s="14" t="s">
        <v>90</v>
      </c>
      <c r="R314" s="14" t="s">
        <v>76</v>
      </c>
      <c r="S314" s="14">
        <v>4</v>
      </c>
      <c r="T314" s="14" t="s">
        <v>82</v>
      </c>
      <c r="U314" s="14" t="s">
        <v>83</v>
      </c>
      <c r="V314" s="14" t="s">
        <v>78</v>
      </c>
    </row>
    <row r="315" spans="1:22" x14ac:dyDescent="0.35">
      <c r="A315" s="17" t="s">
        <v>433</v>
      </c>
      <c r="B315" s="17" t="s">
        <v>388</v>
      </c>
      <c r="C315" s="17" t="s">
        <v>428</v>
      </c>
      <c r="D315" s="17" t="s">
        <v>88</v>
      </c>
      <c r="E315" s="17" t="s">
        <v>101</v>
      </c>
      <c r="F315" s="18">
        <v>4.37</v>
      </c>
      <c r="G315" s="18">
        <v>0.98</v>
      </c>
      <c r="H315" s="18">
        <v>4.28</v>
      </c>
      <c r="I315" s="19">
        <v>130761</v>
      </c>
      <c r="J315" s="19">
        <v>559657</v>
      </c>
      <c r="K315" s="19">
        <v>204288</v>
      </c>
      <c r="L315" s="19">
        <v>355369</v>
      </c>
      <c r="M315" s="19">
        <v>40858</v>
      </c>
      <c r="N315" s="19">
        <v>77629</v>
      </c>
      <c r="O315" s="19">
        <v>24515</v>
      </c>
      <c r="P315" s="19">
        <v>61286</v>
      </c>
      <c r="Q315" s="17" t="s">
        <v>90</v>
      </c>
      <c r="R315" s="17" t="s">
        <v>76</v>
      </c>
      <c r="S315" s="17">
        <v>3</v>
      </c>
      <c r="T315" s="17" t="s">
        <v>77</v>
      </c>
      <c r="U315" s="17" t="s">
        <v>78</v>
      </c>
      <c r="V315" s="17" t="s">
        <v>83</v>
      </c>
    </row>
    <row r="316" spans="1:22" x14ac:dyDescent="0.35">
      <c r="A316" s="14" t="s">
        <v>434</v>
      </c>
      <c r="B316" s="14" t="s">
        <v>388</v>
      </c>
      <c r="C316" s="14" t="s">
        <v>428</v>
      </c>
      <c r="D316" s="14" t="s">
        <v>73</v>
      </c>
      <c r="E316" s="14" t="s">
        <v>98</v>
      </c>
      <c r="F316" s="15">
        <v>1.73</v>
      </c>
      <c r="G316" s="15">
        <v>2.27</v>
      </c>
      <c r="H316" s="15">
        <v>3.93</v>
      </c>
      <c r="I316" s="16">
        <v>372132</v>
      </c>
      <c r="J316" s="16">
        <v>1462479</v>
      </c>
      <c r="K316" s="16">
        <v>520083</v>
      </c>
      <c r="L316" s="16">
        <v>942396</v>
      </c>
      <c r="M316" s="16">
        <v>104017</v>
      </c>
      <c r="N316" s="16">
        <v>197632</v>
      </c>
      <c r="O316" s="16">
        <v>62410</v>
      </c>
      <c r="P316" s="16">
        <v>156025</v>
      </c>
      <c r="Q316" s="14" t="s">
        <v>75</v>
      </c>
      <c r="R316" s="14" t="s">
        <v>81</v>
      </c>
      <c r="S316" s="14">
        <v>7</v>
      </c>
      <c r="T316" s="14" t="s">
        <v>82</v>
      </c>
      <c r="U316" s="14" t="s">
        <v>78</v>
      </c>
      <c r="V316" s="14" t="s">
        <v>78</v>
      </c>
    </row>
    <row r="317" spans="1:22" x14ac:dyDescent="0.35">
      <c r="A317" s="17" t="s">
        <v>435</v>
      </c>
      <c r="B317" s="17" t="s">
        <v>388</v>
      </c>
      <c r="C317" s="17" t="s">
        <v>428</v>
      </c>
      <c r="D317" s="17" t="s">
        <v>88</v>
      </c>
      <c r="E317" s="17" t="s">
        <v>80</v>
      </c>
      <c r="F317" s="18">
        <v>3.07</v>
      </c>
      <c r="G317" s="18">
        <v>15.35</v>
      </c>
      <c r="H317" s="18">
        <v>47.12</v>
      </c>
      <c r="I317" s="19">
        <v>85127</v>
      </c>
      <c r="J317" s="19">
        <v>4011184</v>
      </c>
      <c r="K317" s="19">
        <v>1325761</v>
      </c>
      <c r="L317" s="19">
        <v>2685423</v>
      </c>
      <c r="M317" s="19">
        <v>265152</v>
      </c>
      <c r="N317" s="19">
        <v>503789</v>
      </c>
      <c r="O317" s="19">
        <v>159091</v>
      </c>
      <c r="P317" s="19">
        <v>397728</v>
      </c>
      <c r="Q317" s="17" t="s">
        <v>90</v>
      </c>
      <c r="R317" s="17" t="s">
        <v>76</v>
      </c>
      <c r="S317" s="17">
        <v>7</v>
      </c>
      <c r="T317" s="17" t="s">
        <v>77</v>
      </c>
      <c r="U317" s="17" t="s">
        <v>83</v>
      </c>
      <c r="V317" s="17" t="s">
        <v>83</v>
      </c>
    </row>
    <row r="318" spans="1:22" x14ac:dyDescent="0.35">
      <c r="A318" s="14" t="s">
        <v>436</v>
      </c>
      <c r="B318" s="14" t="s">
        <v>388</v>
      </c>
      <c r="C318" s="14" t="s">
        <v>437</v>
      </c>
      <c r="D318" s="14" t="s">
        <v>73</v>
      </c>
      <c r="E318" s="14" t="s">
        <v>105</v>
      </c>
      <c r="F318" s="15">
        <v>0.56000000000000005</v>
      </c>
      <c r="G318" s="15">
        <v>1.07</v>
      </c>
      <c r="H318" s="15">
        <v>0.6</v>
      </c>
      <c r="I318" s="16">
        <v>437412</v>
      </c>
      <c r="J318" s="16">
        <v>262447</v>
      </c>
      <c r="K318" s="16">
        <v>109385</v>
      </c>
      <c r="L318" s="16">
        <v>153062</v>
      </c>
      <c r="M318" s="16">
        <v>21877</v>
      </c>
      <c r="N318" s="16">
        <v>41566</v>
      </c>
      <c r="O318" s="16">
        <v>13126</v>
      </c>
      <c r="P318" s="16">
        <v>32816</v>
      </c>
      <c r="Q318" s="14" t="s">
        <v>90</v>
      </c>
      <c r="R318" s="14" t="s">
        <v>76</v>
      </c>
      <c r="S318" s="14">
        <v>7</v>
      </c>
      <c r="T318" s="14" t="s">
        <v>82</v>
      </c>
      <c r="U318" s="14" t="s">
        <v>78</v>
      </c>
      <c r="V318" s="14" t="s">
        <v>83</v>
      </c>
    </row>
    <row r="319" spans="1:22" x14ac:dyDescent="0.35">
      <c r="A319" s="17" t="s">
        <v>438</v>
      </c>
      <c r="B319" s="17" t="s">
        <v>388</v>
      </c>
      <c r="C319" s="17" t="s">
        <v>437</v>
      </c>
      <c r="D319" s="17" t="s">
        <v>88</v>
      </c>
      <c r="E319" s="17" t="s">
        <v>105</v>
      </c>
      <c r="F319" s="18">
        <v>0.55000000000000004</v>
      </c>
      <c r="G319" s="18">
        <v>1.1299999999999999</v>
      </c>
      <c r="H319" s="18">
        <v>0.62</v>
      </c>
      <c r="I319" s="19">
        <v>380295</v>
      </c>
      <c r="J319" s="19">
        <v>235783</v>
      </c>
      <c r="K319" s="19">
        <v>95249</v>
      </c>
      <c r="L319" s="19">
        <v>140534</v>
      </c>
      <c r="M319" s="19">
        <v>19050</v>
      </c>
      <c r="N319" s="19">
        <v>36195</v>
      </c>
      <c r="O319" s="19">
        <v>11430</v>
      </c>
      <c r="P319" s="19">
        <v>28575</v>
      </c>
      <c r="Q319" s="17" t="s">
        <v>90</v>
      </c>
      <c r="R319" s="17" t="s">
        <v>76</v>
      </c>
      <c r="S319" s="17">
        <v>10</v>
      </c>
      <c r="T319" s="17" t="s">
        <v>82</v>
      </c>
      <c r="U319" s="17" t="s">
        <v>78</v>
      </c>
      <c r="V319" s="17" t="s">
        <v>83</v>
      </c>
    </row>
    <row r="320" spans="1:22" x14ac:dyDescent="0.35">
      <c r="A320" s="14" t="s">
        <v>439</v>
      </c>
      <c r="B320" s="14" t="s">
        <v>388</v>
      </c>
      <c r="C320" s="14" t="s">
        <v>437</v>
      </c>
      <c r="D320" s="14" t="s">
        <v>88</v>
      </c>
      <c r="E320" s="14" t="s">
        <v>105</v>
      </c>
      <c r="F320" s="15">
        <v>1.01</v>
      </c>
      <c r="G320" s="15">
        <v>1.33</v>
      </c>
      <c r="H320" s="15">
        <v>1.34</v>
      </c>
      <c r="I320" s="16">
        <v>428095</v>
      </c>
      <c r="J320" s="16">
        <v>573647</v>
      </c>
      <c r="K320" s="16">
        <v>172759</v>
      </c>
      <c r="L320" s="16">
        <v>400888</v>
      </c>
      <c r="M320" s="16">
        <v>34552</v>
      </c>
      <c r="N320" s="16">
        <v>65648</v>
      </c>
      <c r="O320" s="16">
        <v>20731</v>
      </c>
      <c r="P320" s="16">
        <v>51828</v>
      </c>
      <c r="Q320" s="14" t="s">
        <v>75</v>
      </c>
      <c r="R320" s="14" t="s">
        <v>76</v>
      </c>
      <c r="S320" s="14">
        <v>4</v>
      </c>
      <c r="T320" s="14" t="s">
        <v>82</v>
      </c>
      <c r="U320" s="14" t="s">
        <v>83</v>
      </c>
      <c r="V320" s="14" t="s">
        <v>83</v>
      </c>
    </row>
    <row r="321" spans="1:22" x14ac:dyDescent="0.35">
      <c r="A321" s="17" t="s">
        <v>440</v>
      </c>
      <c r="B321" s="17" t="s">
        <v>388</v>
      </c>
      <c r="C321" s="17" t="s">
        <v>437</v>
      </c>
      <c r="D321" s="17" t="s">
        <v>88</v>
      </c>
      <c r="E321" s="17" t="s">
        <v>93</v>
      </c>
      <c r="F321" s="18">
        <v>3.41</v>
      </c>
      <c r="G321" s="18">
        <v>0.99</v>
      </c>
      <c r="H321" s="18">
        <v>3.38</v>
      </c>
      <c r="I321" s="19">
        <v>386111</v>
      </c>
      <c r="J321" s="19">
        <v>1305055</v>
      </c>
      <c r="K321" s="19">
        <v>519036</v>
      </c>
      <c r="L321" s="19">
        <v>786019</v>
      </c>
      <c r="M321" s="19">
        <v>103807</v>
      </c>
      <c r="N321" s="19">
        <v>197234</v>
      </c>
      <c r="O321" s="19">
        <v>62284</v>
      </c>
      <c r="P321" s="19">
        <v>155711</v>
      </c>
      <c r="Q321" s="17" t="s">
        <v>75</v>
      </c>
      <c r="R321" s="17" t="s">
        <v>81</v>
      </c>
      <c r="S321" s="17">
        <v>11</v>
      </c>
      <c r="T321" s="17" t="s">
        <v>77</v>
      </c>
      <c r="U321" s="17" t="s">
        <v>83</v>
      </c>
      <c r="V321" s="17" t="s">
        <v>83</v>
      </c>
    </row>
    <row r="322" spans="1:22" x14ac:dyDescent="0.35">
      <c r="A322" s="14" t="s">
        <v>441</v>
      </c>
      <c r="B322" s="14" t="s">
        <v>388</v>
      </c>
      <c r="C322" s="14" t="s">
        <v>437</v>
      </c>
      <c r="D322" s="14" t="s">
        <v>73</v>
      </c>
      <c r="E322" s="14" t="s">
        <v>111</v>
      </c>
      <c r="F322" s="15">
        <v>2.17</v>
      </c>
      <c r="G322" s="15">
        <v>0.67</v>
      </c>
      <c r="H322" s="15">
        <v>1.45</v>
      </c>
      <c r="I322" s="16">
        <v>549208</v>
      </c>
      <c r="J322" s="16">
        <v>796352</v>
      </c>
      <c r="K322" s="16">
        <v>302616</v>
      </c>
      <c r="L322" s="16">
        <v>493736</v>
      </c>
      <c r="M322" s="16">
        <v>60523</v>
      </c>
      <c r="N322" s="16">
        <v>114994</v>
      </c>
      <c r="O322" s="16">
        <v>36314</v>
      </c>
      <c r="P322" s="16">
        <v>90785</v>
      </c>
      <c r="Q322" s="14" t="s">
        <v>75</v>
      </c>
      <c r="R322" s="14" t="s">
        <v>76</v>
      </c>
      <c r="S322" s="14">
        <v>4</v>
      </c>
      <c r="T322" s="14" t="s">
        <v>77</v>
      </c>
      <c r="U322" s="14" t="s">
        <v>78</v>
      </c>
      <c r="V322" s="14" t="s">
        <v>78</v>
      </c>
    </row>
    <row r="323" spans="1:22" x14ac:dyDescent="0.35">
      <c r="A323" s="17" t="s">
        <v>442</v>
      </c>
      <c r="B323" s="17" t="s">
        <v>388</v>
      </c>
      <c r="C323" s="17" t="s">
        <v>437</v>
      </c>
      <c r="D323" s="17" t="s">
        <v>73</v>
      </c>
      <c r="E323" s="17" t="s">
        <v>116</v>
      </c>
      <c r="F323" s="18">
        <v>3.33</v>
      </c>
      <c r="G323" s="18">
        <v>1.4</v>
      </c>
      <c r="H323" s="18">
        <v>4.66</v>
      </c>
      <c r="I323" s="19">
        <v>141667</v>
      </c>
      <c r="J323" s="19">
        <v>660168</v>
      </c>
      <c r="K323" s="19">
        <v>276187</v>
      </c>
      <c r="L323" s="19">
        <v>383981</v>
      </c>
      <c r="M323" s="19">
        <v>55237</v>
      </c>
      <c r="N323" s="19">
        <v>104951</v>
      </c>
      <c r="O323" s="19">
        <v>33142</v>
      </c>
      <c r="P323" s="19">
        <v>82856</v>
      </c>
      <c r="Q323" s="17" t="s">
        <v>90</v>
      </c>
      <c r="R323" s="17" t="s">
        <v>76</v>
      </c>
      <c r="S323" s="17">
        <v>5</v>
      </c>
      <c r="T323" s="17" t="s">
        <v>77</v>
      </c>
      <c r="U323" s="17" t="s">
        <v>83</v>
      </c>
      <c r="V323" s="17" t="s">
        <v>83</v>
      </c>
    </row>
    <row r="324" spans="1:22" x14ac:dyDescent="0.35">
      <c r="A324" s="14" t="s">
        <v>443</v>
      </c>
      <c r="B324" s="14" t="s">
        <v>388</v>
      </c>
      <c r="C324" s="14" t="s">
        <v>437</v>
      </c>
      <c r="D324" s="14" t="s">
        <v>73</v>
      </c>
      <c r="E324" s="14" t="s">
        <v>101</v>
      </c>
      <c r="F324" s="15">
        <v>0.98</v>
      </c>
      <c r="G324" s="15">
        <v>1.24</v>
      </c>
      <c r="H324" s="15">
        <v>1.22</v>
      </c>
      <c r="I324" s="16">
        <v>126952</v>
      </c>
      <c r="J324" s="16">
        <v>154881</v>
      </c>
      <c r="K324" s="16">
        <v>61941</v>
      </c>
      <c r="L324" s="16">
        <v>92940</v>
      </c>
      <c r="M324" s="16">
        <v>12388</v>
      </c>
      <c r="N324" s="16">
        <v>23538</v>
      </c>
      <c r="O324" s="16">
        <v>7433</v>
      </c>
      <c r="P324" s="16">
        <v>18582</v>
      </c>
      <c r="Q324" s="14" t="s">
        <v>75</v>
      </c>
      <c r="R324" s="14" t="s">
        <v>81</v>
      </c>
      <c r="S324" s="14">
        <v>3</v>
      </c>
      <c r="T324" s="14" t="s">
        <v>82</v>
      </c>
      <c r="U324" s="14" t="s">
        <v>83</v>
      </c>
      <c r="V324" s="14" t="s">
        <v>83</v>
      </c>
    </row>
    <row r="325" spans="1:22" x14ac:dyDescent="0.35">
      <c r="A325" s="17" t="s">
        <v>444</v>
      </c>
      <c r="B325" s="17" t="s">
        <v>388</v>
      </c>
      <c r="C325" s="17" t="s">
        <v>437</v>
      </c>
      <c r="D325" s="17" t="s">
        <v>88</v>
      </c>
      <c r="E325" s="17" t="s">
        <v>111</v>
      </c>
      <c r="F325" s="18">
        <v>0.89</v>
      </c>
      <c r="G325" s="18">
        <v>0.6</v>
      </c>
      <c r="H325" s="18">
        <v>0.53</v>
      </c>
      <c r="I325" s="19">
        <v>499789</v>
      </c>
      <c r="J325" s="19">
        <v>264888</v>
      </c>
      <c r="K325" s="19">
        <v>95777</v>
      </c>
      <c r="L325" s="19">
        <v>169111</v>
      </c>
      <c r="M325" s="19">
        <v>19155</v>
      </c>
      <c r="N325" s="19">
        <v>36395</v>
      </c>
      <c r="O325" s="19">
        <v>11493</v>
      </c>
      <c r="P325" s="19">
        <v>28733</v>
      </c>
      <c r="Q325" s="17" t="s">
        <v>86</v>
      </c>
      <c r="R325" s="17" t="s">
        <v>76</v>
      </c>
      <c r="S325" s="17">
        <v>12</v>
      </c>
      <c r="T325" s="17" t="s">
        <v>82</v>
      </c>
      <c r="U325" s="17" t="s">
        <v>78</v>
      </c>
      <c r="V325" s="17" t="s">
        <v>83</v>
      </c>
    </row>
    <row r="326" spans="1:22" x14ac:dyDescent="0.35">
      <c r="A326" s="14" t="s">
        <v>445</v>
      </c>
      <c r="B326" s="14" t="s">
        <v>388</v>
      </c>
      <c r="C326" s="14" t="s">
        <v>437</v>
      </c>
      <c r="D326" s="14" t="s">
        <v>88</v>
      </c>
      <c r="E326" s="14" t="s">
        <v>93</v>
      </c>
      <c r="F326" s="15">
        <v>3.13</v>
      </c>
      <c r="G326" s="15">
        <v>0.8</v>
      </c>
      <c r="H326" s="15">
        <v>2.5</v>
      </c>
      <c r="I326" s="16">
        <v>397646</v>
      </c>
      <c r="J326" s="16">
        <v>994115</v>
      </c>
      <c r="K326" s="16">
        <v>357964</v>
      </c>
      <c r="L326" s="16">
        <v>636151</v>
      </c>
      <c r="M326" s="16">
        <v>71593</v>
      </c>
      <c r="N326" s="16">
        <v>136026</v>
      </c>
      <c r="O326" s="16">
        <v>42956</v>
      </c>
      <c r="P326" s="16">
        <v>107389</v>
      </c>
      <c r="Q326" s="14" t="s">
        <v>90</v>
      </c>
      <c r="R326" s="14" t="s">
        <v>76</v>
      </c>
      <c r="S326" s="14">
        <v>5</v>
      </c>
      <c r="T326" s="14" t="s">
        <v>77</v>
      </c>
      <c r="U326" s="14" t="s">
        <v>78</v>
      </c>
      <c r="V326" s="14" t="s">
        <v>83</v>
      </c>
    </row>
    <row r="327" spans="1:22" x14ac:dyDescent="0.35">
      <c r="A327" s="17" t="s">
        <v>446</v>
      </c>
      <c r="B327" s="17" t="s">
        <v>388</v>
      </c>
      <c r="C327" s="17" t="s">
        <v>437</v>
      </c>
      <c r="D327" s="17" t="s">
        <v>88</v>
      </c>
      <c r="E327" s="17" t="s">
        <v>116</v>
      </c>
      <c r="F327" s="18">
        <v>0.64</v>
      </c>
      <c r="G327" s="18">
        <v>1.89</v>
      </c>
      <c r="H327" s="18">
        <v>1.21</v>
      </c>
      <c r="I327" s="19">
        <v>137670</v>
      </c>
      <c r="J327" s="19">
        <v>166581</v>
      </c>
      <c r="K327" s="19">
        <v>52183</v>
      </c>
      <c r="L327" s="19">
        <v>114398</v>
      </c>
      <c r="M327" s="19">
        <v>10437</v>
      </c>
      <c r="N327" s="19">
        <v>19830</v>
      </c>
      <c r="O327" s="19">
        <v>6262</v>
      </c>
      <c r="P327" s="19">
        <v>15655</v>
      </c>
      <c r="Q327" s="17" t="s">
        <v>75</v>
      </c>
      <c r="R327" s="17" t="s">
        <v>81</v>
      </c>
      <c r="S327" s="17">
        <v>7</v>
      </c>
      <c r="T327" s="17" t="s">
        <v>82</v>
      </c>
      <c r="U327" s="17" t="s">
        <v>78</v>
      </c>
      <c r="V327" s="17" t="s">
        <v>78</v>
      </c>
    </row>
    <row r="328" spans="1:22" x14ac:dyDescent="0.35">
      <c r="A328" s="14" t="s">
        <v>447</v>
      </c>
      <c r="B328" s="14" t="s">
        <v>388</v>
      </c>
      <c r="C328" s="14" t="s">
        <v>437</v>
      </c>
      <c r="D328" s="14" t="s">
        <v>88</v>
      </c>
      <c r="E328" s="14" t="s">
        <v>101</v>
      </c>
      <c r="F328" s="15">
        <v>2.21</v>
      </c>
      <c r="G328" s="15">
        <v>1.23</v>
      </c>
      <c r="H328" s="15">
        <v>2.72</v>
      </c>
      <c r="I328" s="16">
        <v>138434</v>
      </c>
      <c r="J328" s="16">
        <v>376540</v>
      </c>
      <c r="K328" s="16">
        <v>141534</v>
      </c>
      <c r="L328" s="16">
        <v>235006</v>
      </c>
      <c r="M328" s="16">
        <v>28307</v>
      </c>
      <c r="N328" s="16">
        <v>53783</v>
      </c>
      <c r="O328" s="16">
        <v>16984</v>
      </c>
      <c r="P328" s="16">
        <v>42460</v>
      </c>
      <c r="Q328" s="14" t="s">
        <v>86</v>
      </c>
      <c r="R328" s="14" t="s">
        <v>76</v>
      </c>
      <c r="S328" s="14">
        <v>7</v>
      </c>
      <c r="T328" s="14" t="s">
        <v>77</v>
      </c>
      <c r="U328" s="14" t="s">
        <v>83</v>
      </c>
      <c r="V328" s="14" t="s">
        <v>83</v>
      </c>
    </row>
    <row r="329" spans="1:22" x14ac:dyDescent="0.35">
      <c r="A329" s="17" t="s">
        <v>448</v>
      </c>
      <c r="B329" s="17" t="s">
        <v>388</v>
      </c>
      <c r="C329" s="17" t="s">
        <v>437</v>
      </c>
      <c r="D329" s="17" t="s">
        <v>88</v>
      </c>
      <c r="E329" s="17" t="s">
        <v>101</v>
      </c>
      <c r="F329" s="18">
        <v>4.51</v>
      </c>
      <c r="G329" s="18">
        <v>1.08</v>
      </c>
      <c r="H329" s="18">
        <v>4.87</v>
      </c>
      <c r="I329" s="19">
        <v>109598</v>
      </c>
      <c r="J329" s="19">
        <v>533742</v>
      </c>
      <c r="K329" s="19">
        <v>182455</v>
      </c>
      <c r="L329" s="19">
        <v>351287</v>
      </c>
      <c r="M329" s="19">
        <v>36491</v>
      </c>
      <c r="N329" s="19">
        <v>69333</v>
      </c>
      <c r="O329" s="19">
        <v>21895</v>
      </c>
      <c r="P329" s="19">
        <v>54736</v>
      </c>
      <c r="Q329" s="17" t="s">
        <v>90</v>
      </c>
      <c r="R329" s="17" t="s">
        <v>81</v>
      </c>
      <c r="S329" s="17">
        <v>11</v>
      </c>
      <c r="T329" s="17" t="s">
        <v>77</v>
      </c>
      <c r="U329" s="17" t="s">
        <v>78</v>
      </c>
      <c r="V329" s="17" t="s">
        <v>78</v>
      </c>
    </row>
    <row r="330" spans="1:22" x14ac:dyDescent="0.35">
      <c r="A330" s="14" t="s">
        <v>449</v>
      </c>
      <c r="B330" s="14" t="s">
        <v>388</v>
      </c>
      <c r="C330" s="14" t="s">
        <v>437</v>
      </c>
      <c r="D330" s="14" t="s">
        <v>73</v>
      </c>
      <c r="E330" s="14" t="s">
        <v>93</v>
      </c>
      <c r="F330" s="15">
        <v>0.7</v>
      </c>
      <c r="G330" s="15">
        <v>1.24</v>
      </c>
      <c r="H330" s="15">
        <v>0.87</v>
      </c>
      <c r="I330" s="16">
        <v>368986</v>
      </c>
      <c r="J330" s="16">
        <v>321018</v>
      </c>
      <c r="K330" s="16">
        <v>124963</v>
      </c>
      <c r="L330" s="16">
        <v>196055</v>
      </c>
      <c r="M330" s="16">
        <v>24993</v>
      </c>
      <c r="N330" s="16">
        <v>47486</v>
      </c>
      <c r="O330" s="16">
        <v>14996</v>
      </c>
      <c r="P330" s="16">
        <v>37489</v>
      </c>
      <c r="Q330" s="14" t="s">
        <v>75</v>
      </c>
      <c r="R330" s="14" t="s">
        <v>76</v>
      </c>
      <c r="S330" s="14">
        <v>5</v>
      </c>
      <c r="T330" s="14" t="s">
        <v>82</v>
      </c>
      <c r="U330" s="14" t="s">
        <v>78</v>
      </c>
      <c r="V330" s="14" t="s">
        <v>78</v>
      </c>
    </row>
    <row r="331" spans="1:22" x14ac:dyDescent="0.35">
      <c r="A331" s="17" t="s">
        <v>450</v>
      </c>
      <c r="B331" s="17" t="s">
        <v>388</v>
      </c>
      <c r="C331" s="17" t="s">
        <v>437</v>
      </c>
      <c r="D331" s="17" t="s">
        <v>73</v>
      </c>
      <c r="E331" s="17" t="s">
        <v>80</v>
      </c>
      <c r="F331" s="18">
        <v>0.65</v>
      </c>
      <c r="G331" s="18">
        <v>10.96</v>
      </c>
      <c r="H331" s="18">
        <v>7.12</v>
      </c>
      <c r="I331" s="19">
        <v>91021</v>
      </c>
      <c r="J331" s="19">
        <v>648070</v>
      </c>
      <c r="K331" s="19">
        <v>199525</v>
      </c>
      <c r="L331" s="19">
        <v>448545</v>
      </c>
      <c r="M331" s="19">
        <v>39905</v>
      </c>
      <c r="N331" s="19">
        <v>75820</v>
      </c>
      <c r="O331" s="19">
        <v>23943</v>
      </c>
      <c r="P331" s="19">
        <v>59858</v>
      </c>
      <c r="Q331" s="17" t="s">
        <v>90</v>
      </c>
      <c r="R331" s="17" t="s">
        <v>81</v>
      </c>
      <c r="S331" s="17">
        <v>11</v>
      </c>
      <c r="T331" s="17" t="s">
        <v>82</v>
      </c>
      <c r="U331" s="17" t="s">
        <v>78</v>
      </c>
      <c r="V331" s="17" t="s">
        <v>83</v>
      </c>
    </row>
    <row r="332" spans="1:22" x14ac:dyDescent="0.35">
      <c r="A332" s="14" t="s">
        <v>451</v>
      </c>
      <c r="B332" s="14" t="s">
        <v>388</v>
      </c>
      <c r="C332" s="14" t="s">
        <v>437</v>
      </c>
      <c r="D332" s="14" t="s">
        <v>73</v>
      </c>
      <c r="E332" s="14" t="s">
        <v>74</v>
      </c>
      <c r="F332" s="15">
        <v>0.95</v>
      </c>
      <c r="G332" s="15">
        <v>8.44</v>
      </c>
      <c r="H332" s="15">
        <v>8.02</v>
      </c>
      <c r="I332" s="16">
        <v>177090</v>
      </c>
      <c r="J332" s="16">
        <v>1420262</v>
      </c>
      <c r="K332" s="16">
        <v>588660</v>
      </c>
      <c r="L332" s="16">
        <v>831602</v>
      </c>
      <c r="M332" s="16">
        <v>117732</v>
      </c>
      <c r="N332" s="16">
        <v>223691</v>
      </c>
      <c r="O332" s="16">
        <v>70639</v>
      </c>
      <c r="P332" s="16">
        <v>176598</v>
      </c>
      <c r="Q332" s="14" t="s">
        <v>90</v>
      </c>
      <c r="R332" s="14" t="s">
        <v>81</v>
      </c>
      <c r="S332" s="14">
        <v>8</v>
      </c>
      <c r="T332" s="14" t="s">
        <v>82</v>
      </c>
      <c r="U332" s="14" t="s">
        <v>78</v>
      </c>
      <c r="V332" s="14" t="s">
        <v>83</v>
      </c>
    </row>
    <row r="333" spans="1:22" x14ac:dyDescent="0.35">
      <c r="A333" s="17" t="s">
        <v>452</v>
      </c>
      <c r="B333" s="17" t="s">
        <v>388</v>
      </c>
      <c r="C333" s="17" t="s">
        <v>437</v>
      </c>
      <c r="D333" s="17" t="s">
        <v>88</v>
      </c>
      <c r="E333" s="17" t="s">
        <v>74</v>
      </c>
      <c r="F333" s="18">
        <v>0.37</v>
      </c>
      <c r="G333" s="18">
        <v>5.27</v>
      </c>
      <c r="H333" s="18">
        <v>1.95</v>
      </c>
      <c r="I333" s="19">
        <v>199106</v>
      </c>
      <c r="J333" s="19">
        <v>388257</v>
      </c>
      <c r="K333" s="19">
        <v>151100</v>
      </c>
      <c r="L333" s="19">
        <v>237157</v>
      </c>
      <c r="M333" s="19">
        <v>30220</v>
      </c>
      <c r="N333" s="19">
        <v>57418</v>
      </c>
      <c r="O333" s="19">
        <v>18132</v>
      </c>
      <c r="P333" s="19">
        <v>45330</v>
      </c>
      <c r="Q333" s="17" t="s">
        <v>86</v>
      </c>
      <c r="R333" s="17" t="s">
        <v>76</v>
      </c>
      <c r="S333" s="17">
        <v>6</v>
      </c>
      <c r="T333" s="17" t="s">
        <v>82</v>
      </c>
      <c r="U333" s="17" t="s">
        <v>83</v>
      </c>
      <c r="V333" s="17" t="s">
        <v>78</v>
      </c>
    </row>
    <row r="334" spans="1:22" x14ac:dyDescent="0.35">
      <c r="A334" s="14" t="s">
        <v>453</v>
      </c>
      <c r="B334" s="14" t="s">
        <v>388</v>
      </c>
      <c r="C334" s="14" t="s">
        <v>437</v>
      </c>
      <c r="D334" s="14" t="s">
        <v>88</v>
      </c>
      <c r="E334" s="14" t="s">
        <v>85</v>
      </c>
      <c r="F334" s="15">
        <v>2.81</v>
      </c>
      <c r="G334" s="15">
        <v>1.45</v>
      </c>
      <c r="H334" s="15">
        <v>4.07</v>
      </c>
      <c r="I334" s="16">
        <v>148218</v>
      </c>
      <c r="J334" s="16">
        <v>603247</v>
      </c>
      <c r="K334" s="16">
        <v>226524</v>
      </c>
      <c r="L334" s="16">
        <v>376723</v>
      </c>
      <c r="M334" s="16">
        <v>45305</v>
      </c>
      <c r="N334" s="16">
        <v>86079</v>
      </c>
      <c r="O334" s="16">
        <v>27183</v>
      </c>
      <c r="P334" s="16">
        <v>67957</v>
      </c>
      <c r="Q334" s="14" t="s">
        <v>90</v>
      </c>
      <c r="R334" s="14" t="s">
        <v>76</v>
      </c>
      <c r="S334" s="14">
        <v>5</v>
      </c>
      <c r="T334" s="14" t="s">
        <v>77</v>
      </c>
      <c r="U334" s="14" t="s">
        <v>83</v>
      </c>
      <c r="V334" s="14" t="s">
        <v>78</v>
      </c>
    </row>
    <row r="335" spans="1:22" x14ac:dyDescent="0.35">
      <c r="A335" s="17" t="s">
        <v>454</v>
      </c>
      <c r="B335" s="17" t="s">
        <v>388</v>
      </c>
      <c r="C335" s="17" t="s">
        <v>455</v>
      </c>
      <c r="D335" s="17" t="s">
        <v>88</v>
      </c>
      <c r="E335" s="17" t="s">
        <v>85</v>
      </c>
      <c r="F335" s="18">
        <v>3.71</v>
      </c>
      <c r="G335" s="18">
        <v>1.34</v>
      </c>
      <c r="H335" s="18">
        <v>4.97</v>
      </c>
      <c r="I335" s="19">
        <v>121240</v>
      </c>
      <c r="J335" s="19">
        <v>602563</v>
      </c>
      <c r="K335" s="19">
        <v>244260</v>
      </c>
      <c r="L335" s="19">
        <v>358303</v>
      </c>
      <c r="M335" s="19">
        <v>48852</v>
      </c>
      <c r="N335" s="19">
        <v>92819</v>
      </c>
      <c r="O335" s="19">
        <v>29311</v>
      </c>
      <c r="P335" s="19">
        <v>73278</v>
      </c>
      <c r="Q335" s="17" t="s">
        <v>90</v>
      </c>
      <c r="R335" s="17" t="s">
        <v>81</v>
      </c>
      <c r="S335" s="17">
        <v>7</v>
      </c>
      <c r="T335" s="17" t="s">
        <v>77</v>
      </c>
      <c r="U335" s="17" t="s">
        <v>78</v>
      </c>
      <c r="V335" s="17" t="s">
        <v>83</v>
      </c>
    </row>
    <row r="336" spans="1:22" x14ac:dyDescent="0.35">
      <c r="A336" s="14" t="s">
        <v>456</v>
      </c>
      <c r="B336" s="14" t="s">
        <v>388</v>
      </c>
      <c r="C336" s="14" t="s">
        <v>455</v>
      </c>
      <c r="D336" s="14" t="s">
        <v>88</v>
      </c>
      <c r="E336" s="14" t="s">
        <v>85</v>
      </c>
      <c r="F336" s="15">
        <v>3.13</v>
      </c>
      <c r="G336" s="15">
        <v>0.84</v>
      </c>
      <c r="H336" s="15">
        <v>2.63</v>
      </c>
      <c r="I336" s="16">
        <v>149478</v>
      </c>
      <c r="J336" s="16">
        <v>393127</v>
      </c>
      <c r="K336" s="16">
        <v>163269</v>
      </c>
      <c r="L336" s="16">
        <v>229858</v>
      </c>
      <c r="M336" s="16">
        <v>32654</v>
      </c>
      <c r="N336" s="16">
        <v>62042</v>
      </c>
      <c r="O336" s="16">
        <v>19592</v>
      </c>
      <c r="P336" s="16">
        <v>48981</v>
      </c>
      <c r="Q336" s="14" t="s">
        <v>90</v>
      </c>
      <c r="R336" s="14" t="s">
        <v>81</v>
      </c>
      <c r="S336" s="14">
        <v>7</v>
      </c>
      <c r="T336" s="14" t="s">
        <v>77</v>
      </c>
      <c r="U336" s="14" t="s">
        <v>83</v>
      </c>
      <c r="V336" s="14" t="s">
        <v>78</v>
      </c>
    </row>
    <row r="337" spans="1:22" x14ac:dyDescent="0.35">
      <c r="A337" s="17" t="s">
        <v>457</v>
      </c>
      <c r="B337" s="17" t="s">
        <v>388</v>
      </c>
      <c r="C337" s="17" t="s">
        <v>455</v>
      </c>
      <c r="D337" s="17" t="s">
        <v>73</v>
      </c>
      <c r="E337" s="17" t="s">
        <v>105</v>
      </c>
      <c r="F337" s="18">
        <v>1.21</v>
      </c>
      <c r="G337" s="18">
        <v>1.1299999999999999</v>
      </c>
      <c r="H337" s="18">
        <v>1.37</v>
      </c>
      <c r="I337" s="19">
        <v>397967</v>
      </c>
      <c r="J337" s="19">
        <v>545215</v>
      </c>
      <c r="K337" s="19">
        <v>173795</v>
      </c>
      <c r="L337" s="19">
        <v>371420</v>
      </c>
      <c r="M337" s="19">
        <v>34759</v>
      </c>
      <c r="N337" s="19">
        <v>66042</v>
      </c>
      <c r="O337" s="19">
        <v>20855</v>
      </c>
      <c r="P337" s="19">
        <v>52138</v>
      </c>
      <c r="Q337" s="17" t="s">
        <v>75</v>
      </c>
      <c r="R337" s="17" t="s">
        <v>81</v>
      </c>
      <c r="S337" s="17">
        <v>6</v>
      </c>
      <c r="T337" s="17" t="s">
        <v>82</v>
      </c>
      <c r="U337" s="17" t="s">
        <v>78</v>
      </c>
      <c r="V337" s="17" t="s">
        <v>83</v>
      </c>
    </row>
    <row r="338" spans="1:22" x14ac:dyDescent="0.35">
      <c r="A338" s="14" t="s">
        <v>458</v>
      </c>
      <c r="B338" s="14" t="s">
        <v>388</v>
      </c>
      <c r="C338" s="14" t="s">
        <v>455</v>
      </c>
      <c r="D338" s="14" t="s">
        <v>73</v>
      </c>
      <c r="E338" s="14" t="s">
        <v>98</v>
      </c>
      <c r="F338" s="15">
        <v>2.92</v>
      </c>
      <c r="G338" s="15">
        <v>2.6</v>
      </c>
      <c r="H338" s="15">
        <v>7.59</v>
      </c>
      <c r="I338" s="16">
        <v>339903</v>
      </c>
      <c r="J338" s="16">
        <v>2579864</v>
      </c>
      <c r="K338" s="16">
        <v>960933</v>
      </c>
      <c r="L338" s="16">
        <v>1618931</v>
      </c>
      <c r="M338" s="16">
        <v>192187</v>
      </c>
      <c r="N338" s="16">
        <v>365155</v>
      </c>
      <c r="O338" s="16">
        <v>115312</v>
      </c>
      <c r="P338" s="16">
        <v>288280</v>
      </c>
      <c r="Q338" s="14" t="s">
        <v>75</v>
      </c>
      <c r="R338" s="14" t="s">
        <v>76</v>
      </c>
      <c r="S338" s="14">
        <v>3</v>
      </c>
      <c r="T338" s="14" t="s">
        <v>77</v>
      </c>
      <c r="U338" s="14" t="s">
        <v>83</v>
      </c>
      <c r="V338" s="14" t="s">
        <v>83</v>
      </c>
    </row>
    <row r="339" spans="1:22" x14ac:dyDescent="0.35">
      <c r="A339" s="17" t="s">
        <v>459</v>
      </c>
      <c r="B339" s="17" t="s">
        <v>388</v>
      </c>
      <c r="C339" s="17" t="s">
        <v>455</v>
      </c>
      <c r="D339" s="17" t="s">
        <v>88</v>
      </c>
      <c r="E339" s="17" t="s">
        <v>85</v>
      </c>
      <c r="F339" s="18">
        <v>4.58</v>
      </c>
      <c r="G339" s="18">
        <v>1.1200000000000001</v>
      </c>
      <c r="H339" s="18">
        <v>5.13</v>
      </c>
      <c r="I339" s="19">
        <v>139233</v>
      </c>
      <c r="J339" s="19">
        <v>714265</v>
      </c>
      <c r="K339" s="19">
        <v>258295</v>
      </c>
      <c r="L339" s="19">
        <v>455970</v>
      </c>
      <c r="M339" s="19">
        <v>51659</v>
      </c>
      <c r="N339" s="19">
        <v>98152</v>
      </c>
      <c r="O339" s="19">
        <v>30995</v>
      </c>
      <c r="P339" s="19">
        <v>77488</v>
      </c>
      <c r="Q339" s="17" t="s">
        <v>75</v>
      </c>
      <c r="R339" s="17" t="s">
        <v>76</v>
      </c>
      <c r="S339" s="17">
        <v>8</v>
      </c>
      <c r="T339" s="17" t="s">
        <v>77</v>
      </c>
      <c r="U339" s="17" t="s">
        <v>83</v>
      </c>
      <c r="V339" s="17" t="s">
        <v>83</v>
      </c>
    </row>
    <row r="340" spans="1:22" x14ac:dyDescent="0.35">
      <c r="A340" s="14" t="s">
        <v>460</v>
      </c>
      <c r="B340" s="14" t="s">
        <v>388</v>
      </c>
      <c r="C340" s="14" t="s">
        <v>455</v>
      </c>
      <c r="D340" s="14" t="s">
        <v>88</v>
      </c>
      <c r="E340" s="14" t="s">
        <v>98</v>
      </c>
      <c r="F340" s="15">
        <v>3.22</v>
      </c>
      <c r="G340" s="15">
        <v>2.06</v>
      </c>
      <c r="H340" s="15">
        <v>6.63</v>
      </c>
      <c r="I340" s="16">
        <v>330724</v>
      </c>
      <c r="J340" s="16">
        <v>2192700</v>
      </c>
      <c r="K340" s="16">
        <v>873481</v>
      </c>
      <c r="L340" s="16">
        <v>1319219</v>
      </c>
      <c r="M340" s="16">
        <v>174696</v>
      </c>
      <c r="N340" s="16">
        <v>331923</v>
      </c>
      <c r="O340" s="16">
        <v>104818</v>
      </c>
      <c r="P340" s="16">
        <v>262044</v>
      </c>
      <c r="Q340" s="14" t="s">
        <v>75</v>
      </c>
      <c r="R340" s="14" t="s">
        <v>76</v>
      </c>
      <c r="S340" s="14">
        <v>7</v>
      </c>
      <c r="T340" s="14" t="s">
        <v>77</v>
      </c>
      <c r="U340" s="14" t="s">
        <v>78</v>
      </c>
      <c r="V340" s="14" t="s">
        <v>83</v>
      </c>
    </row>
    <row r="341" spans="1:22" x14ac:dyDescent="0.35">
      <c r="A341" s="17" t="s">
        <v>461</v>
      </c>
      <c r="B341" s="17" t="s">
        <v>388</v>
      </c>
      <c r="C341" s="17" t="s">
        <v>455</v>
      </c>
      <c r="D341" s="17" t="s">
        <v>88</v>
      </c>
      <c r="E341" s="17" t="s">
        <v>116</v>
      </c>
      <c r="F341" s="18">
        <v>3.04</v>
      </c>
      <c r="G341" s="18">
        <v>1.58</v>
      </c>
      <c r="H341" s="18">
        <v>4.8</v>
      </c>
      <c r="I341" s="19">
        <v>162949</v>
      </c>
      <c r="J341" s="19">
        <v>782155</v>
      </c>
      <c r="K341" s="19">
        <v>322693</v>
      </c>
      <c r="L341" s="19">
        <v>459462</v>
      </c>
      <c r="M341" s="19">
        <v>64539</v>
      </c>
      <c r="N341" s="19">
        <v>122623</v>
      </c>
      <c r="O341" s="19">
        <v>38723</v>
      </c>
      <c r="P341" s="19">
        <v>96808</v>
      </c>
      <c r="Q341" s="17" t="s">
        <v>90</v>
      </c>
      <c r="R341" s="17" t="s">
        <v>76</v>
      </c>
      <c r="S341" s="17">
        <v>6</v>
      </c>
      <c r="T341" s="17" t="s">
        <v>77</v>
      </c>
      <c r="U341" s="17" t="s">
        <v>78</v>
      </c>
      <c r="V341" s="17" t="s">
        <v>78</v>
      </c>
    </row>
    <row r="342" spans="1:22" x14ac:dyDescent="0.35">
      <c r="A342" s="14" t="s">
        <v>462</v>
      </c>
      <c r="B342" s="14" t="s">
        <v>388</v>
      </c>
      <c r="C342" s="14" t="s">
        <v>455</v>
      </c>
      <c r="D342" s="14" t="s">
        <v>88</v>
      </c>
      <c r="E342" s="14" t="s">
        <v>85</v>
      </c>
      <c r="F342" s="15">
        <v>4.05</v>
      </c>
      <c r="G342" s="15">
        <v>1.07</v>
      </c>
      <c r="H342" s="15">
        <v>4.33</v>
      </c>
      <c r="I342" s="16">
        <v>120662</v>
      </c>
      <c r="J342" s="16">
        <v>522466</v>
      </c>
      <c r="K342" s="16">
        <v>167799</v>
      </c>
      <c r="L342" s="16">
        <v>354667</v>
      </c>
      <c r="M342" s="16">
        <v>33560</v>
      </c>
      <c r="N342" s="16">
        <v>63764</v>
      </c>
      <c r="O342" s="16">
        <v>20136</v>
      </c>
      <c r="P342" s="16">
        <v>50340</v>
      </c>
      <c r="Q342" s="14" t="s">
        <v>86</v>
      </c>
      <c r="R342" s="14" t="s">
        <v>81</v>
      </c>
      <c r="S342" s="14">
        <v>3</v>
      </c>
      <c r="T342" s="14" t="s">
        <v>77</v>
      </c>
      <c r="U342" s="14" t="s">
        <v>83</v>
      </c>
      <c r="V342" s="14" t="s">
        <v>83</v>
      </c>
    </row>
    <row r="343" spans="1:22" x14ac:dyDescent="0.35">
      <c r="A343" s="17" t="s">
        <v>463</v>
      </c>
      <c r="B343" s="17" t="s">
        <v>388</v>
      </c>
      <c r="C343" s="17" t="s">
        <v>455</v>
      </c>
      <c r="D343" s="17" t="s">
        <v>73</v>
      </c>
      <c r="E343" s="17" t="s">
        <v>111</v>
      </c>
      <c r="F343" s="18">
        <v>2.15</v>
      </c>
      <c r="G343" s="18">
        <v>0.74</v>
      </c>
      <c r="H343" s="18">
        <v>1.59</v>
      </c>
      <c r="I343" s="19">
        <v>434113</v>
      </c>
      <c r="J343" s="19">
        <v>690240</v>
      </c>
      <c r="K343" s="19">
        <v>259045</v>
      </c>
      <c r="L343" s="19">
        <v>431195</v>
      </c>
      <c r="M343" s="19">
        <v>51809</v>
      </c>
      <c r="N343" s="19">
        <v>98437</v>
      </c>
      <c r="O343" s="19">
        <v>31085</v>
      </c>
      <c r="P343" s="19">
        <v>77714</v>
      </c>
      <c r="Q343" s="17" t="s">
        <v>75</v>
      </c>
      <c r="R343" s="17" t="s">
        <v>81</v>
      </c>
      <c r="S343" s="17">
        <v>9</v>
      </c>
      <c r="T343" s="17" t="s">
        <v>77</v>
      </c>
      <c r="U343" s="17" t="s">
        <v>78</v>
      </c>
      <c r="V343" s="17" t="s">
        <v>78</v>
      </c>
    </row>
    <row r="344" spans="1:22" x14ac:dyDescent="0.35">
      <c r="A344" s="14" t="s">
        <v>464</v>
      </c>
      <c r="B344" s="14" t="s">
        <v>388</v>
      </c>
      <c r="C344" s="14" t="s">
        <v>455</v>
      </c>
      <c r="D344" s="14" t="s">
        <v>73</v>
      </c>
      <c r="E344" s="14" t="s">
        <v>116</v>
      </c>
      <c r="F344" s="15">
        <v>1.7</v>
      </c>
      <c r="G344" s="15">
        <v>2.33</v>
      </c>
      <c r="H344" s="15">
        <v>3.96</v>
      </c>
      <c r="I344" s="16">
        <v>162089</v>
      </c>
      <c r="J344" s="16">
        <v>641872</v>
      </c>
      <c r="K344" s="16">
        <v>268387</v>
      </c>
      <c r="L344" s="16">
        <v>373485</v>
      </c>
      <c r="M344" s="16">
        <v>53677</v>
      </c>
      <c r="N344" s="16">
        <v>101987</v>
      </c>
      <c r="O344" s="16">
        <v>32206</v>
      </c>
      <c r="P344" s="16">
        <v>80516</v>
      </c>
      <c r="Q344" s="14" t="s">
        <v>86</v>
      </c>
      <c r="R344" s="14" t="s">
        <v>81</v>
      </c>
      <c r="S344" s="14">
        <v>5</v>
      </c>
      <c r="T344" s="14" t="s">
        <v>82</v>
      </c>
      <c r="U344" s="14" t="s">
        <v>78</v>
      </c>
      <c r="V344" s="14" t="s">
        <v>83</v>
      </c>
    </row>
    <row r="345" spans="1:22" x14ac:dyDescent="0.35">
      <c r="A345" s="17" t="s">
        <v>465</v>
      </c>
      <c r="B345" s="17" t="s">
        <v>388</v>
      </c>
      <c r="C345" s="17" t="s">
        <v>455</v>
      </c>
      <c r="D345" s="17" t="s">
        <v>73</v>
      </c>
      <c r="E345" s="17" t="s">
        <v>101</v>
      </c>
      <c r="F345" s="18">
        <v>2.2200000000000002</v>
      </c>
      <c r="G345" s="18">
        <v>0.88</v>
      </c>
      <c r="H345" s="18">
        <v>1.95</v>
      </c>
      <c r="I345" s="19">
        <v>123202</v>
      </c>
      <c r="J345" s="19">
        <v>240244</v>
      </c>
      <c r="K345" s="19">
        <v>74311</v>
      </c>
      <c r="L345" s="19">
        <v>165933</v>
      </c>
      <c r="M345" s="19">
        <v>14862</v>
      </c>
      <c r="N345" s="19">
        <v>28238</v>
      </c>
      <c r="O345" s="19">
        <v>8917</v>
      </c>
      <c r="P345" s="19">
        <v>22293</v>
      </c>
      <c r="Q345" s="17" t="s">
        <v>86</v>
      </c>
      <c r="R345" s="17" t="s">
        <v>76</v>
      </c>
      <c r="S345" s="17">
        <v>10</v>
      </c>
      <c r="T345" s="17" t="s">
        <v>77</v>
      </c>
      <c r="U345" s="17" t="s">
        <v>78</v>
      </c>
      <c r="V345" s="17" t="s">
        <v>78</v>
      </c>
    </row>
    <row r="346" spans="1:22" x14ac:dyDescent="0.35">
      <c r="A346" s="14" t="s">
        <v>466</v>
      </c>
      <c r="B346" s="14" t="s">
        <v>467</v>
      </c>
      <c r="C346" s="14" t="s">
        <v>468</v>
      </c>
      <c r="D346" s="14" t="s">
        <v>88</v>
      </c>
      <c r="E346" s="14" t="s">
        <v>96</v>
      </c>
      <c r="F346" s="15">
        <v>1.19</v>
      </c>
      <c r="G346" s="15">
        <v>0.76</v>
      </c>
      <c r="H346" s="15">
        <v>0.9</v>
      </c>
      <c r="I346" s="16">
        <v>376348</v>
      </c>
      <c r="J346" s="16">
        <v>338713</v>
      </c>
      <c r="K346" s="16">
        <v>96629</v>
      </c>
      <c r="L346" s="16">
        <v>242084</v>
      </c>
      <c r="M346" s="16">
        <v>19326</v>
      </c>
      <c r="N346" s="16">
        <v>36719</v>
      </c>
      <c r="O346" s="16">
        <v>11595</v>
      </c>
      <c r="P346" s="16">
        <v>28989</v>
      </c>
      <c r="Q346" s="14" t="s">
        <v>86</v>
      </c>
      <c r="R346" s="14" t="s">
        <v>81</v>
      </c>
      <c r="S346" s="14">
        <v>3</v>
      </c>
      <c r="T346" s="14" t="s">
        <v>82</v>
      </c>
      <c r="U346" s="14" t="s">
        <v>78</v>
      </c>
      <c r="V346" s="14" t="s">
        <v>83</v>
      </c>
    </row>
    <row r="347" spans="1:22" x14ac:dyDescent="0.35">
      <c r="A347" s="17" t="s">
        <v>469</v>
      </c>
      <c r="B347" s="17" t="s">
        <v>467</v>
      </c>
      <c r="C347" s="17" t="s">
        <v>468</v>
      </c>
      <c r="D347" s="17" t="s">
        <v>73</v>
      </c>
      <c r="E347" s="17" t="s">
        <v>98</v>
      </c>
      <c r="F347" s="18">
        <v>2.5299999999999998</v>
      </c>
      <c r="G347" s="18">
        <v>2.37</v>
      </c>
      <c r="H347" s="18">
        <v>6</v>
      </c>
      <c r="I347" s="19">
        <v>305133</v>
      </c>
      <c r="J347" s="19">
        <v>1830798</v>
      </c>
      <c r="K347" s="19">
        <v>690382</v>
      </c>
      <c r="L347" s="19">
        <v>1140416</v>
      </c>
      <c r="M347" s="19">
        <v>138076</v>
      </c>
      <c r="N347" s="19">
        <v>262345</v>
      </c>
      <c r="O347" s="19">
        <v>82846</v>
      </c>
      <c r="P347" s="19">
        <v>207115</v>
      </c>
      <c r="Q347" s="17" t="s">
        <v>90</v>
      </c>
      <c r="R347" s="17" t="s">
        <v>81</v>
      </c>
      <c r="S347" s="17">
        <v>5</v>
      </c>
      <c r="T347" s="17" t="s">
        <v>77</v>
      </c>
      <c r="U347" s="17" t="s">
        <v>78</v>
      </c>
      <c r="V347" s="17" t="s">
        <v>83</v>
      </c>
    </row>
    <row r="348" spans="1:22" x14ac:dyDescent="0.35">
      <c r="A348" s="14" t="s">
        <v>470</v>
      </c>
      <c r="B348" s="14" t="s">
        <v>467</v>
      </c>
      <c r="C348" s="14" t="s">
        <v>468</v>
      </c>
      <c r="D348" s="14" t="s">
        <v>88</v>
      </c>
      <c r="E348" s="14" t="s">
        <v>93</v>
      </c>
      <c r="F348" s="15">
        <v>1</v>
      </c>
      <c r="G348" s="15">
        <v>1.1200000000000001</v>
      </c>
      <c r="H348" s="15">
        <v>1.1200000000000001</v>
      </c>
      <c r="I348" s="16">
        <v>356995</v>
      </c>
      <c r="J348" s="16">
        <v>399834</v>
      </c>
      <c r="K348" s="16">
        <v>128233</v>
      </c>
      <c r="L348" s="16">
        <v>271601</v>
      </c>
      <c r="M348" s="16">
        <v>25647</v>
      </c>
      <c r="N348" s="16">
        <v>48729</v>
      </c>
      <c r="O348" s="16">
        <v>15388</v>
      </c>
      <c r="P348" s="16">
        <v>38470</v>
      </c>
      <c r="Q348" s="14" t="s">
        <v>75</v>
      </c>
      <c r="R348" s="14" t="s">
        <v>81</v>
      </c>
      <c r="S348" s="14">
        <v>9</v>
      </c>
      <c r="T348" s="14" t="s">
        <v>82</v>
      </c>
      <c r="U348" s="14" t="s">
        <v>83</v>
      </c>
      <c r="V348" s="14" t="s">
        <v>78</v>
      </c>
    </row>
    <row r="349" spans="1:22" x14ac:dyDescent="0.35">
      <c r="A349" s="17" t="s">
        <v>471</v>
      </c>
      <c r="B349" s="17" t="s">
        <v>467</v>
      </c>
      <c r="C349" s="17" t="s">
        <v>468</v>
      </c>
      <c r="D349" s="17" t="s">
        <v>88</v>
      </c>
      <c r="E349" s="17" t="s">
        <v>101</v>
      </c>
      <c r="F349" s="18">
        <v>2.48</v>
      </c>
      <c r="G349" s="18">
        <v>0.83</v>
      </c>
      <c r="H349" s="18">
        <v>2.06</v>
      </c>
      <c r="I349" s="19">
        <v>141803</v>
      </c>
      <c r="J349" s="19">
        <v>292114</v>
      </c>
      <c r="K349" s="19">
        <v>119343</v>
      </c>
      <c r="L349" s="19">
        <v>172771</v>
      </c>
      <c r="M349" s="19">
        <v>23869</v>
      </c>
      <c r="N349" s="19">
        <v>45350</v>
      </c>
      <c r="O349" s="19">
        <v>14321</v>
      </c>
      <c r="P349" s="19">
        <v>35803</v>
      </c>
      <c r="Q349" s="17" t="s">
        <v>90</v>
      </c>
      <c r="R349" s="17" t="s">
        <v>76</v>
      </c>
      <c r="S349" s="17">
        <v>6</v>
      </c>
      <c r="T349" s="17" t="s">
        <v>77</v>
      </c>
      <c r="U349" s="17" t="s">
        <v>78</v>
      </c>
      <c r="V349" s="17" t="s">
        <v>83</v>
      </c>
    </row>
    <row r="350" spans="1:22" x14ac:dyDescent="0.35">
      <c r="A350" s="14" t="s">
        <v>472</v>
      </c>
      <c r="B350" s="14" t="s">
        <v>467</v>
      </c>
      <c r="C350" s="14" t="s">
        <v>468</v>
      </c>
      <c r="D350" s="14" t="s">
        <v>73</v>
      </c>
      <c r="E350" s="14" t="s">
        <v>116</v>
      </c>
      <c r="F350" s="15">
        <v>3.07</v>
      </c>
      <c r="G350" s="15">
        <v>1.9</v>
      </c>
      <c r="H350" s="15">
        <v>5.83</v>
      </c>
      <c r="I350" s="16">
        <v>130601</v>
      </c>
      <c r="J350" s="16">
        <v>761404</v>
      </c>
      <c r="K350" s="16">
        <v>252271</v>
      </c>
      <c r="L350" s="16">
        <v>509133</v>
      </c>
      <c r="M350" s="16">
        <v>50454</v>
      </c>
      <c r="N350" s="16">
        <v>95863</v>
      </c>
      <c r="O350" s="16">
        <v>30273</v>
      </c>
      <c r="P350" s="16">
        <v>75681</v>
      </c>
      <c r="Q350" s="14" t="s">
        <v>75</v>
      </c>
      <c r="R350" s="14" t="s">
        <v>76</v>
      </c>
      <c r="S350" s="14">
        <v>9</v>
      </c>
      <c r="T350" s="14" t="s">
        <v>77</v>
      </c>
      <c r="U350" s="14" t="s">
        <v>83</v>
      </c>
      <c r="V350" s="14" t="s">
        <v>83</v>
      </c>
    </row>
    <row r="351" spans="1:22" x14ac:dyDescent="0.35">
      <c r="A351" s="17" t="s">
        <v>473</v>
      </c>
      <c r="B351" s="17" t="s">
        <v>467</v>
      </c>
      <c r="C351" s="17" t="s">
        <v>468</v>
      </c>
      <c r="D351" s="17" t="s">
        <v>73</v>
      </c>
      <c r="E351" s="17" t="s">
        <v>93</v>
      </c>
      <c r="F351" s="18">
        <v>2.2799999999999998</v>
      </c>
      <c r="G351" s="18">
        <v>0.8</v>
      </c>
      <c r="H351" s="18">
        <v>1.82</v>
      </c>
      <c r="I351" s="19">
        <v>335325</v>
      </c>
      <c r="J351" s="19">
        <v>610292</v>
      </c>
      <c r="K351" s="19">
        <v>242321</v>
      </c>
      <c r="L351" s="19">
        <v>367971</v>
      </c>
      <c r="M351" s="19">
        <v>48464</v>
      </c>
      <c r="N351" s="19">
        <v>92082</v>
      </c>
      <c r="O351" s="19">
        <v>29079</v>
      </c>
      <c r="P351" s="19">
        <v>72696</v>
      </c>
      <c r="Q351" s="17" t="s">
        <v>86</v>
      </c>
      <c r="R351" s="17" t="s">
        <v>76</v>
      </c>
      <c r="S351" s="17">
        <v>9</v>
      </c>
      <c r="T351" s="17" t="s">
        <v>77</v>
      </c>
      <c r="U351" s="17" t="s">
        <v>78</v>
      </c>
      <c r="V351" s="17" t="s">
        <v>83</v>
      </c>
    </row>
    <row r="352" spans="1:22" x14ac:dyDescent="0.35">
      <c r="A352" s="14" t="s">
        <v>474</v>
      </c>
      <c r="B352" s="14" t="s">
        <v>467</v>
      </c>
      <c r="C352" s="14" t="s">
        <v>468</v>
      </c>
      <c r="D352" s="14" t="s">
        <v>88</v>
      </c>
      <c r="E352" s="14" t="s">
        <v>74</v>
      </c>
      <c r="F352" s="15">
        <v>1.58</v>
      </c>
      <c r="G352" s="15">
        <v>5.72</v>
      </c>
      <c r="H352" s="15">
        <v>9.0399999999999991</v>
      </c>
      <c r="I352" s="16">
        <v>190540</v>
      </c>
      <c r="J352" s="16">
        <v>1722482</v>
      </c>
      <c r="K352" s="16">
        <v>634293</v>
      </c>
      <c r="L352" s="16">
        <v>1088189</v>
      </c>
      <c r="M352" s="16">
        <v>126859</v>
      </c>
      <c r="N352" s="16">
        <v>241031</v>
      </c>
      <c r="O352" s="16">
        <v>76115</v>
      </c>
      <c r="P352" s="16">
        <v>190288</v>
      </c>
      <c r="Q352" s="14" t="s">
        <v>90</v>
      </c>
      <c r="R352" s="14" t="s">
        <v>81</v>
      </c>
      <c r="S352" s="14">
        <v>4</v>
      </c>
      <c r="T352" s="14" t="s">
        <v>82</v>
      </c>
      <c r="U352" s="14" t="s">
        <v>83</v>
      </c>
      <c r="V352" s="14" t="s">
        <v>83</v>
      </c>
    </row>
    <row r="353" spans="1:22" x14ac:dyDescent="0.35">
      <c r="A353" s="17" t="s">
        <v>475</v>
      </c>
      <c r="B353" s="17" t="s">
        <v>467</v>
      </c>
      <c r="C353" s="17" t="s">
        <v>468</v>
      </c>
      <c r="D353" s="17" t="s">
        <v>73</v>
      </c>
      <c r="E353" s="17" t="s">
        <v>85</v>
      </c>
      <c r="F353" s="18">
        <v>2.38</v>
      </c>
      <c r="G353" s="18">
        <v>1.73</v>
      </c>
      <c r="H353" s="18">
        <v>4.12</v>
      </c>
      <c r="I353" s="19">
        <v>130452</v>
      </c>
      <c r="J353" s="19">
        <v>537462</v>
      </c>
      <c r="K353" s="19">
        <v>196968</v>
      </c>
      <c r="L353" s="19">
        <v>340494</v>
      </c>
      <c r="M353" s="19">
        <v>39394</v>
      </c>
      <c r="N353" s="19">
        <v>74848</v>
      </c>
      <c r="O353" s="19">
        <v>23636</v>
      </c>
      <c r="P353" s="19">
        <v>59090</v>
      </c>
      <c r="Q353" s="17" t="s">
        <v>90</v>
      </c>
      <c r="R353" s="17" t="s">
        <v>76</v>
      </c>
      <c r="S353" s="17">
        <v>4</v>
      </c>
      <c r="T353" s="17" t="s">
        <v>77</v>
      </c>
      <c r="U353" s="17" t="s">
        <v>78</v>
      </c>
      <c r="V353" s="17" t="s">
        <v>78</v>
      </c>
    </row>
    <row r="354" spans="1:22" x14ac:dyDescent="0.35">
      <c r="A354" s="14" t="s">
        <v>476</v>
      </c>
      <c r="B354" s="14" t="s">
        <v>467</v>
      </c>
      <c r="C354" s="14" t="s">
        <v>468</v>
      </c>
      <c r="D354" s="14" t="s">
        <v>73</v>
      </c>
      <c r="E354" s="14" t="s">
        <v>111</v>
      </c>
      <c r="F354" s="15">
        <v>3.22</v>
      </c>
      <c r="G354" s="15">
        <v>1.08</v>
      </c>
      <c r="H354" s="15">
        <v>3.48</v>
      </c>
      <c r="I354" s="16">
        <v>559549</v>
      </c>
      <c r="J354" s="16">
        <v>1947231</v>
      </c>
      <c r="K354" s="16">
        <v>642799</v>
      </c>
      <c r="L354" s="16">
        <v>1304432</v>
      </c>
      <c r="M354" s="16">
        <v>128560</v>
      </c>
      <c r="N354" s="16">
        <v>244264</v>
      </c>
      <c r="O354" s="16">
        <v>77136</v>
      </c>
      <c r="P354" s="16">
        <v>192840</v>
      </c>
      <c r="Q354" s="14" t="s">
        <v>90</v>
      </c>
      <c r="R354" s="14" t="s">
        <v>81</v>
      </c>
      <c r="S354" s="14">
        <v>5</v>
      </c>
      <c r="T354" s="14" t="s">
        <v>77</v>
      </c>
      <c r="U354" s="14" t="s">
        <v>78</v>
      </c>
      <c r="V354" s="14" t="s">
        <v>83</v>
      </c>
    </row>
    <row r="355" spans="1:22" x14ac:dyDescent="0.35">
      <c r="A355" s="17" t="s">
        <v>477</v>
      </c>
      <c r="B355" s="17" t="s">
        <v>467</v>
      </c>
      <c r="C355" s="17" t="s">
        <v>468</v>
      </c>
      <c r="D355" s="17" t="s">
        <v>73</v>
      </c>
      <c r="E355" s="17" t="s">
        <v>105</v>
      </c>
      <c r="F355" s="18">
        <v>2.16</v>
      </c>
      <c r="G355" s="18">
        <v>1.28</v>
      </c>
      <c r="H355" s="18">
        <v>2.76</v>
      </c>
      <c r="I355" s="19">
        <v>386548</v>
      </c>
      <c r="J355" s="19">
        <v>1066872</v>
      </c>
      <c r="K355" s="19">
        <v>300628</v>
      </c>
      <c r="L355" s="19">
        <v>766244</v>
      </c>
      <c r="M355" s="19">
        <v>60126</v>
      </c>
      <c r="N355" s="19">
        <v>114239</v>
      </c>
      <c r="O355" s="19">
        <v>36075</v>
      </c>
      <c r="P355" s="19">
        <v>90188</v>
      </c>
      <c r="Q355" s="17" t="s">
        <v>86</v>
      </c>
      <c r="R355" s="17" t="s">
        <v>76</v>
      </c>
      <c r="S355" s="17">
        <v>12</v>
      </c>
      <c r="T355" s="17" t="s">
        <v>77</v>
      </c>
      <c r="U355" s="17" t="s">
        <v>83</v>
      </c>
      <c r="V355" s="17" t="s">
        <v>83</v>
      </c>
    </row>
    <row r="356" spans="1:22" x14ac:dyDescent="0.35">
      <c r="A356" s="14" t="s">
        <v>478</v>
      </c>
      <c r="B356" s="14" t="s">
        <v>467</v>
      </c>
      <c r="C356" s="14" t="s">
        <v>468</v>
      </c>
      <c r="D356" s="14" t="s">
        <v>73</v>
      </c>
      <c r="E356" s="14" t="s">
        <v>116</v>
      </c>
      <c r="F356" s="15">
        <v>3.23</v>
      </c>
      <c r="G356" s="15">
        <v>1.34</v>
      </c>
      <c r="H356" s="15">
        <v>4.33</v>
      </c>
      <c r="I356" s="16">
        <v>154726</v>
      </c>
      <c r="J356" s="16">
        <v>669964</v>
      </c>
      <c r="K356" s="16">
        <v>272454</v>
      </c>
      <c r="L356" s="16">
        <v>397510</v>
      </c>
      <c r="M356" s="16">
        <v>54491</v>
      </c>
      <c r="N356" s="16">
        <v>103533</v>
      </c>
      <c r="O356" s="16">
        <v>32694</v>
      </c>
      <c r="P356" s="16">
        <v>81736</v>
      </c>
      <c r="Q356" s="14" t="s">
        <v>75</v>
      </c>
      <c r="R356" s="14" t="s">
        <v>76</v>
      </c>
      <c r="S356" s="14">
        <v>10</v>
      </c>
      <c r="T356" s="14" t="s">
        <v>77</v>
      </c>
      <c r="U356" s="14" t="s">
        <v>78</v>
      </c>
      <c r="V356" s="14" t="s">
        <v>83</v>
      </c>
    </row>
    <row r="357" spans="1:22" x14ac:dyDescent="0.35">
      <c r="A357" s="17" t="s">
        <v>479</v>
      </c>
      <c r="B357" s="17" t="s">
        <v>467</v>
      </c>
      <c r="C357" s="17" t="s">
        <v>468</v>
      </c>
      <c r="D357" s="17" t="s">
        <v>73</v>
      </c>
      <c r="E357" s="17" t="s">
        <v>105</v>
      </c>
      <c r="F357" s="18">
        <v>0.56999999999999995</v>
      </c>
      <c r="G357" s="18">
        <v>1.05</v>
      </c>
      <c r="H357" s="18">
        <v>0.6</v>
      </c>
      <c r="I357" s="19">
        <v>361970</v>
      </c>
      <c r="J357" s="19">
        <v>217182</v>
      </c>
      <c r="K357" s="19">
        <v>69646</v>
      </c>
      <c r="L357" s="19">
        <v>147536</v>
      </c>
      <c r="M357" s="19">
        <v>13929</v>
      </c>
      <c r="N357" s="19">
        <v>26465</v>
      </c>
      <c r="O357" s="19">
        <v>8358</v>
      </c>
      <c r="P357" s="19">
        <v>20894</v>
      </c>
      <c r="Q357" s="17" t="s">
        <v>75</v>
      </c>
      <c r="R357" s="17" t="s">
        <v>81</v>
      </c>
      <c r="S357" s="17">
        <v>9</v>
      </c>
      <c r="T357" s="17" t="s">
        <v>82</v>
      </c>
      <c r="U357" s="17" t="s">
        <v>83</v>
      </c>
      <c r="V357" s="17" t="s">
        <v>78</v>
      </c>
    </row>
    <row r="358" spans="1:22" x14ac:dyDescent="0.35">
      <c r="A358" s="14" t="s">
        <v>480</v>
      </c>
      <c r="B358" s="14" t="s">
        <v>467</v>
      </c>
      <c r="C358" s="14" t="s">
        <v>468</v>
      </c>
      <c r="D358" s="14" t="s">
        <v>73</v>
      </c>
      <c r="E358" s="14" t="s">
        <v>74</v>
      </c>
      <c r="F358" s="15">
        <v>0.33</v>
      </c>
      <c r="G358" s="15">
        <v>6.66</v>
      </c>
      <c r="H358" s="15">
        <v>2.2000000000000002</v>
      </c>
      <c r="I358" s="16">
        <v>187949</v>
      </c>
      <c r="J358" s="16">
        <v>413488</v>
      </c>
      <c r="K358" s="16">
        <v>134802</v>
      </c>
      <c r="L358" s="16">
        <v>278686</v>
      </c>
      <c r="M358" s="16">
        <v>26960</v>
      </c>
      <c r="N358" s="16">
        <v>51225</v>
      </c>
      <c r="O358" s="16">
        <v>16176</v>
      </c>
      <c r="P358" s="16">
        <v>40441</v>
      </c>
      <c r="Q358" s="14" t="s">
        <v>90</v>
      </c>
      <c r="R358" s="14" t="s">
        <v>81</v>
      </c>
      <c r="S358" s="14">
        <v>4</v>
      </c>
      <c r="T358" s="14" t="s">
        <v>82</v>
      </c>
      <c r="U358" s="14" t="s">
        <v>78</v>
      </c>
      <c r="V358" s="14" t="s">
        <v>83</v>
      </c>
    </row>
    <row r="359" spans="1:22" x14ac:dyDescent="0.35">
      <c r="A359" s="17" t="s">
        <v>481</v>
      </c>
      <c r="B359" s="17" t="s">
        <v>467</v>
      </c>
      <c r="C359" s="17" t="s">
        <v>468</v>
      </c>
      <c r="D359" s="17" t="s">
        <v>73</v>
      </c>
      <c r="E359" s="17" t="s">
        <v>116</v>
      </c>
      <c r="F359" s="18">
        <v>1.9</v>
      </c>
      <c r="G359" s="18">
        <v>2.2999999999999998</v>
      </c>
      <c r="H359" s="18">
        <v>4.37</v>
      </c>
      <c r="I359" s="19">
        <v>135075</v>
      </c>
      <c r="J359" s="19">
        <v>590278</v>
      </c>
      <c r="K359" s="19">
        <v>197153</v>
      </c>
      <c r="L359" s="19">
        <v>393125</v>
      </c>
      <c r="M359" s="19">
        <v>39431</v>
      </c>
      <c r="N359" s="19">
        <v>74918</v>
      </c>
      <c r="O359" s="19">
        <v>23658</v>
      </c>
      <c r="P359" s="19">
        <v>59146</v>
      </c>
      <c r="Q359" s="17" t="s">
        <v>90</v>
      </c>
      <c r="R359" s="17" t="s">
        <v>81</v>
      </c>
      <c r="S359" s="17">
        <v>5</v>
      </c>
      <c r="T359" s="17" t="s">
        <v>82</v>
      </c>
      <c r="U359" s="17" t="s">
        <v>78</v>
      </c>
      <c r="V359" s="17" t="s">
        <v>78</v>
      </c>
    </row>
    <row r="360" spans="1:22" x14ac:dyDescent="0.35">
      <c r="A360" s="14" t="s">
        <v>482</v>
      </c>
      <c r="B360" s="14" t="s">
        <v>467</v>
      </c>
      <c r="C360" s="14" t="s">
        <v>468</v>
      </c>
      <c r="D360" s="14" t="s">
        <v>73</v>
      </c>
      <c r="E360" s="14" t="s">
        <v>80</v>
      </c>
      <c r="F360" s="15">
        <v>0.97</v>
      </c>
      <c r="G360" s="15">
        <v>18.7</v>
      </c>
      <c r="H360" s="15">
        <v>18.14</v>
      </c>
      <c r="I360" s="16">
        <v>94506</v>
      </c>
      <c r="J360" s="16">
        <v>1714339</v>
      </c>
      <c r="K360" s="16">
        <v>616566</v>
      </c>
      <c r="L360" s="16">
        <v>1097773</v>
      </c>
      <c r="M360" s="16">
        <v>123313</v>
      </c>
      <c r="N360" s="16">
        <v>234295</v>
      </c>
      <c r="O360" s="16">
        <v>73988</v>
      </c>
      <c r="P360" s="16">
        <v>184970</v>
      </c>
      <c r="Q360" s="14" t="s">
        <v>90</v>
      </c>
      <c r="R360" s="14" t="s">
        <v>76</v>
      </c>
      <c r="S360" s="14">
        <v>12</v>
      </c>
      <c r="T360" s="14" t="s">
        <v>82</v>
      </c>
      <c r="U360" s="14" t="s">
        <v>78</v>
      </c>
      <c r="V360" s="14" t="s">
        <v>83</v>
      </c>
    </row>
    <row r="361" spans="1:22" x14ac:dyDescent="0.35">
      <c r="A361" s="17" t="s">
        <v>483</v>
      </c>
      <c r="B361" s="17" t="s">
        <v>467</v>
      </c>
      <c r="C361" s="17" t="s">
        <v>468</v>
      </c>
      <c r="D361" s="17" t="s">
        <v>73</v>
      </c>
      <c r="E361" s="17" t="s">
        <v>111</v>
      </c>
      <c r="F361" s="18">
        <v>3.52</v>
      </c>
      <c r="G361" s="18">
        <v>1.1100000000000001</v>
      </c>
      <c r="H361" s="18">
        <v>3.91</v>
      </c>
      <c r="I361" s="19">
        <v>523410</v>
      </c>
      <c r="J361" s="19">
        <v>2046533</v>
      </c>
      <c r="K361" s="19">
        <v>828532</v>
      </c>
      <c r="L361" s="19">
        <v>1218001</v>
      </c>
      <c r="M361" s="19">
        <v>165706</v>
      </c>
      <c r="N361" s="19">
        <v>314842</v>
      </c>
      <c r="O361" s="19">
        <v>99424</v>
      </c>
      <c r="P361" s="19">
        <v>248560</v>
      </c>
      <c r="Q361" s="17" t="s">
        <v>90</v>
      </c>
      <c r="R361" s="17" t="s">
        <v>81</v>
      </c>
      <c r="S361" s="17">
        <v>4</v>
      </c>
      <c r="T361" s="17" t="s">
        <v>77</v>
      </c>
      <c r="U361" s="17" t="s">
        <v>78</v>
      </c>
      <c r="V361" s="17" t="s">
        <v>83</v>
      </c>
    </row>
    <row r="362" spans="1:22" x14ac:dyDescent="0.35">
      <c r="A362" s="14" t="s">
        <v>484</v>
      </c>
      <c r="B362" s="14" t="s">
        <v>467</v>
      </c>
      <c r="C362" s="14" t="s">
        <v>468</v>
      </c>
      <c r="D362" s="14" t="s">
        <v>73</v>
      </c>
      <c r="E362" s="14" t="s">
        <v>80</v>
      </c>
      <c r="F362" s="15">
        <v>1.68</v>
      </c>
      <c r="G362" s="15">
        <v>13.33</v>
      </c>
      <c r="H362" s="15">
        <v>22.39</v>
      </c>
      <c r="I362" s="16">
        <v>100830</v>
      </c>
      <c r="J362" s="16">
        <v>2257584</v>
      </c>
      <c r="K362" s="16">
        <v>846391</v>
      </c>
      <c r="L362" s="16">
        <v>1411193</v>
      </c>
      <c r="M362" s="16">
        <v>169278</v>
      </c>
      <c r="N362" s="16">
        <v>321629</v>
      </c>
      <c r="O362" s="16">
        <v>101567</v>
      </c>
      <c r="P362" s="16">
        <v>253917</v>
      </c>
      <c r="Q362" s="14" t="s">
        <v>75</v>
      </c>
      <c r="R362" s="14" t="s">
        <v>76</v>
      </c>
      <c r="S362" s="14">
        <v>8</v>
      </c>
      <c r="T362" s="14" t="s">
        <v>82</v>
      </c>
      <c r="U362" s="14" t="s">
        <v>83</v>
      </c>
      <c r="V362" s="14" t="s">
        <v>83</v>
      </c>
    </row>
    <row r="363" spans="1:22" x14ac:dyDescent="0.35">
      <c r="A363" s="17" t="s">
        <v>485</v>
      </c>
      <c r="B363" s="17" t="s">
        <v>467</v>
      </c>
      <c r="C363" s="17" t="s">
        <v>486</v>
      </c>
      <c r="D363" s="17" t="s">
        <v>88</v>
      </c>
      <c r="E363" s="17" t="s">
        <v>74</v>
      </c>
      <c r="F363" s="18">
        <v>2.09</v>
      </c>
      <c r="G363" s="18">
        <v>6.14</v>
      </c>
      <c r="H363" s="18">
        <v>12.83</v>
      </c>
      <c r="I363" s="19">
        <v>171670</v>
      </c>
      <c r="J363" s="19">
        <v>2202526</v>
      </c>
      <c r="K363" s="19">
        <v>825245</v>
      </c>
      <c r="L363" s="19">
        <v>1377281</v>
      </c>
      <c r="M363" s="19">
        <v>165049</v>
      </c>
      <c r="N363" s="19">
        <v>313593</v>
      </c>
      <c r="O363" s="19">
        <v>99029</v>
      </c>
      <c r="P363" s="19">
        <v>247574</v>
      </c>
      <c r="Q363" s="17" t="s">
        <v>90</v>
      </c>
      <c r="R363" s="17" t="s">
        <v>76</v>
      </c>
      <c r="S363" s="17">
        <v>11</v>
      </c>
      <c r="T363" s="17" t="s">
        <v>77</v>
      </c>
      <c r="U363" s="17" t="s">
        <v>83</v>
      </c>
      <c r="V363" s="17" t="s">
        <v>78</v>
      </c>
    </row>
    <row r="364" spans="1:22" x14ac:dyDescent="0.35">
      <c r="A364" s="14" t="s">
        <v>487</v>
      </c>
      <c r="B364" s="14" t="s">
        <v>467</v>
      </c>
      <c r="C364" s="14" t="s">
        <v>486</v>
      </c>
      <c r="D364" s="14" t="s">
        <v>73</v>
      </c>
      <c r="E364" s="14" t="s">
        <v>80</v>
      </c>
      <c r="F364" s="15">
        <v>2.78</v>
      </c>
      <c r="G364" s="15">
        <v>14.72</v>
      </c>
      <c r="H364" s="15">
        <v>40.92</v>
      </c>
      <c r="I364" s="16">
        <v>94881</v>
      </c>
      <c r="J364" s="16">
        <v>3882531</v>
      </c>
      <c r="K364" s="16">
        <v>1177015</v>
      </c>
      <c r="L364" s="16">
        <v>2705516</v>
      </c>
      <c r="M364" s="16">
        <v>235403</v>
      </c>
      <c r="N364" s="16">
        <v>447266</v>
      </c>
      <c r="O364" s="16">
        <v>141242</v>
      </c>
      <c r="P364" s="16">
        <v>353104</v>
      </c>
      <c r="Q364" s="14" t="s">
        <v>90</v>
      </c>
      <c r="R364" s="14" t="s">
        <v>81</v>
      </c>
      <c r="S364" s="14">
        <v>6</v>
      </c>
      <c r="T364" s="14" t="s">
        <v>77</v>
      </c>
      <c r="U364" s="14" t="s">
        <v>78</v>
      </c>
      <c r="V364" s="14" t="s">
        <v>83</v>
      </c>
    </row>
    <row r="365" spans="1:22" x14ac:dyDescent="0.35">
      <c r="A365" s="17" t="s">
        <v>488</v>
      </c>
      <c r="B365" s="17" t="s">
        <v>467</v>
      </c>
      <c r="C365" s="17" t="s">
        <v>486</v>
      </c>
      <c r="D365" s="17" t="s">
        <v>73</v>
      </c>
      <c r="E365" s="17" t="s">
        <v>80</v>
      </c>
      <c r="F365" s="18">
        <v>2.98</v>
      </c>
      <c r="G365" s="18">
        <v>13.91</v>
      </c>
      <c r="H365" s="18">
        <v>41.45</v>
      </c>
      <c r="I365" s="19">
        <v>104037</v>
      </c>
      <c r="J365" s="19">
        <v>4312334</v>
      </c>
      <c r="K365" s="19">
        <v>1255046</v>
      </c>
      <c r="L365" s="19">
        <v>3057288</v>
      </c>
      <c r="M365" s="19">
        <v>251009</v>
      </c>
      <c r="N365" s="19">
        <v>476917</v>
      </c>
      <c r="O365" s="19">
        <v>150606</v>
      </c>
      <c r="P365" s="19">
        <v>376514</v>
      </c>
      <c r="Q365" s="17" t="s">
        <v>90</v>
      </c>
      <c r="R365" s="17" t="s">
        <v>81</v>
      </c>
      <c r="S365" s="17">
        <v>4</v>
      </c>
      <c r="T365" s="17" t="s">
        <v>77</v>
      </c>
      <c r="U365" s="17" t="s">
        <v>78</v>
      </c>
      <c r="V365" s="17" t="s">
        <v>83</v>
      </c>
    </row>
    <row r="366" spans="1:22" x14ac:dyDescent="0.35">
      <c r="A366" s="14" t="s">
        <v>489</v>
      </c>
      <c r="B366" s="14" t="s">
        <v>467</v>
      </c>
      <c r="C366" s="14" t="s">
        <v>486</v>
      </c>
      <c r="D366" s="14" t="s">
        <v>73</v>
      </c>
      <c r="E366" s="14" t="s">
        <v>101</v>
      </c>
      <c r="F366" s="15">
        <v>5.89</v>
      </c>
      <c r="G366" s="15">
        <v>1.38</v>
      </c>
      <c r="H366" s="15">
        <v>8.1300000000000008</v>
      </c>
      <c r="I366" s="16">
        <v>106916</v>
      </c>
      <c r="J366" s="16">
        <v>869227</v>
      </c>
      <c r="K366" s="16">
        <v>292479</v>
      </c>
      <c r="L366" s="16">
        <v>576748</v>
      </c>
      <c r="M366" s="16">
        <v>58496</v>
      </c>
      <c r="N366" s="16">
        <v>111142</v>
      </c>
      <c r="O366" s="16">
        <v>35097</v>
      </c>
      <c r="P366" s="16">
        <v>87744</v>
      </c>
      <c r="Q366" s="14" t="s">
        <v>86</v>
      </c>
      <c r="R366" s="14" t="s">
        <v>76</v>
      </c>
      <c r="S366" s="14">
        <v>4</v>
      </c>
      <c r="T366" s="14" t="s">
        <v>163</v>
      </c>
      <c r="U366" s="14" t="s">
        <v>83</v>
      </c>
      <c r="V366" s="14" t="s">
        <v>83</v>
      </c>
    </row>
    <row r="367" spans="1:22" x14ac:dyDescent="0.35">
      <c r="A367" s="17" t="s">
        <v>490</v>
      </c>
      <c r="B367" s="17" t="s">
        <v>467</v>
      </c>
      <c r="C367" s="17" t="s">
        <v>486</v>
      </c>
      <c r="D367" s="17" t="s">
        <v>73</v>
      </c>
      <c r="E367" s="17" t="s">
        <v>85</v>
      </c>
      <c r="F367" s="18">
        <v>3.45</v>
      </c>
      <c r="G367" s="18">
        <v>1.36</v>
      </c>
      <c r="H367" s="18">
        <v>4.6900000000000004</v>
      </c>
      <c r="I367" s="19">
        <v>123793</v>
      </c>
      <c r="J367" s="19">
        <v>580589</v>
      </c>
      <c r="K367" s="19">
        <v>229648</v>
      </c>
      <c r="L367" s="19">
        <v>350941</v>
      </c>
      <c r="M367" s="19">
        <v>45930</v>
      </c>
      <c r="N367" s="19">
        <v>87266</v>
      </c>
      <c r="O367" s="19">
        <v>27558</v>
      </c>
      <c r="P367" s="19">
        <v>68894</v>
      </c>
      <c r="Q367" s="17" t="s">
        <v>86</v>
      </c>
      <c r="R367" s="17" t="s">
        <v>81</v>
      </c>
      <c r="S367" s="17">
        <v>8</v>
      </c>
      <c r="T367" s="17" t="s">
        <v>77</v>
      </c>
      <c r="U367" s="17" t="s">
        <v>83</v>
      </c>
      <c r="V367" s="17" t="s">
        <v>83</v>
      </c>
    </row>
    <row r="368" spans="1:22" x14ac:dyDescent="0.35">
      <c r="A368" s="14" t="s">
        <v>491</v>
      </c>
      <c r="B368" s="14" t="s">
        <v>467</v>
      </c>
      <c r="C368" s="14" t="s">
        <v>486</v>
      </c>
      <c r="D368" s="14" t="s">
        <v>88</v>
      </c>
      <c r="E368" s="14" t="s">
        <v>111</v>
      </c>
      <c r="F368" s="15">
        <v>3.01</v>
      </c>
      <c r="G368" s="15">
        <v>0.7</v>
      </c>
      <c r="H368" s="15">
        <v>2.11</v>
      </c>
      <c r="I368" s="16">
        <v>483022</v>
      </c>
      <c r="J368" s="16">
        <v>1019176</v>
      </c>
      <c r="K368" s="16">
        <v>299272</v>
      </c>
      <c r="L368" s="16">
        <v>719904</v>
      </c>
      <c r="M368" s="16">
        <v>59854</v>
      </c>
      <c r="N368" s="16">
        <v>113723</v>
      </c>
      <c r="O368" s="16">
        <v>35913</v>
      </c>
      <c r="P368" s="16">
        <v>89782</v>
      </c>
      <c r="Q368" s="14" t="s">
        <v>75</v>
      </c>
      <c r="R368" s="14" t="s">
        <v>76</v>
      </c>
      <c r="S368" s="14">
        <v>3</v>
      </c>
      <c r="T368" s="14" t="s">
        <v>77</v>
      </c>
      <c r="U368" s="14" t="s">
        <v>78</v>
      </c>
      <c r="V368" s="14" t="s">
        <v>83</v>
      </c>
    </row>
    <row r="369" spans="1:22" x14ac:dyDescent="0.35">
      <c r="A369" s="17" t="s">
        <v>492</v>
      </c>
      <c r="B369" s="17" t="s">
        <v>467</v>
      </c>
      <c r="C369" s="17" t="s">
        <v>486</v>
      </c>
      <c r="D369" s="17" t="s">
        <v>88</v>
      </c>
      <c r="E369" s="17" t="s">
        <v>85</v>
      </c>
      <c r="F369" s="18">
        <v>3.66</v>
      </c>
      <c r="G369" s="18">
        <v>0.87</v>
      </c>
      <c r="H369" s="18">
        <v>3.18</v>
      </c>
      <c r="I369" s="19">
        <v>116902</v>
      </c>
      <c r="J369" s="19">
        <v>371748</v>
      </c>
      <c r="K369" s="19">
        <v>111399</v>
      </c>
      <c r="L369" s="19">
        <v>260349</v>
      </c>
      <c r="M369" s="19">
        <v>22280</v>
      </c>
      <c r="N369" s="19">
        <v>42332</v>
      </c>
      <c r="O369" s="19">
        <v>13368</v>
      </c>
      <c r="P369" s="19">
        <v>33420</v>
      </c>
      <c r="Q369" s="17" t="s">
        <v>75</v>
      </c>
      <c r="R369" s="17" t="s">
        <v>81</v>
      </c>
      <c r="S369" s="17">
        <v>4</v>
      </c>
      <c r="T369" s="17" t="s">
        <v>77</v>
      </c>
      <c r="U369" s="17" t="s">
        <v>78</v>
      </c>
      <c r="V369" s="17" t="s">
        <v>83</v>
      </c>
    </row>
    <row r="370" spans="1:22" x14ac:dyDescent="0.35">
      <c r="A370" s="14" t="s">
        <v>493</v>
      </c>
      <c r="B370" s="14" t="s">
        <v>467</v>
      </c>
      <c r="C370" s="14" t="s">
        <v>486</v>
      </c>
      <c r="D370" s="14" t="s">
        <v>73</v>
      </c>
      <c r="E370" s="14" t="s">
        <v>98</v>
      </c>
      <c r="F370" s="15">
        <v>0.86</v>
      </c>
      <c r="G370" s="15">
        <v>2.66</v>
      </c>
      <c r="H370" s="15">
        <v>2.29</v>
      </c>
      <c r="I370" s="16">
        <v>301843</v>
      </c>
      <c r="J370" s="16">
        <v>691220</v>
      </c>
      <c r="K370" s="16">
        <v>273334</v>
      </c>
      <c r="L370" s="16">
        <v>417886</v>
      </c>
      <c r="M370" s="16">
        <v>54667</v>
      </c>
      <c r="N370" s="16">
        <v>103867</v>
      </c>
      <c r="O370" s="16">
        <v>32800</v>
      </c>
      <c r="P370" s="16">
        <v>82000</v>
      </c>
      <c r="Q370" s="14" t="s">
        <v>86</v>
      </c>
      <c r="R370" s="14" t="s">
        <v>81</v>
      </c>
      <c r="S370" s="14">
        <v>4</v>
      </c>
      <c r="T370" s="14" t="s">
        <v>82</v>
      </c>
      <c r="U370" s="14" t="s">
        <v>78</v>
      </c>
      <c r="V370" s="14" t="s">
        <v>78</v>
      </c>
    </row>
    <row r="371" spans="1:22" x14ac:dyDescent="0.35">
      <c r="A371" s="17" t="s">
        <v>494</v>
      </c>
      <c r="B371" s="17" t="s">
        <v>467</v>
      </c>
      <c r="C371" s="17" t="s">
        <v>486</v>
      </c>
      <c r="D371" s="17" t="s">
        <v>73</v>
      </c>
      <c r="E371" s="17" t="s">
        <v>111</v>
      </c>
      <c r="F371" s="18">
        <v>3.2</v>
      </c>
      <c r="G371" s="18">
        <v>0.87</v>
      </c>
      <c r="H371" s="18">
        <v>2.78</v>
      </c>
      <c r="I371" s="19">
        <v>513293</v>
      </c>
      <c r="J371" s="19">
        <v>1426955</v>
      </c>
      <c r="K371" s="19">
        <v>590569</v>
      </c>
      <c r="L371" s="19">
        <v>836386</v>
      </c>
      <c r="M371" s="19">
        <v>118114</v>
      </c>
      <c r="N371" s="19">
        <v>224416</v>
      </c>
      <c r="O371" s="19">
        <v>70868</v>
      </c>
      <c r="P371" s="19">
        <v>177171</v>
      </c>
      <c r="Q371" s="17" t="s">
        <v>86</v>
      </c>
      <c r="R371" s="17" t="s">
        <v>81</v>
      </c>
      <c r="S371" s="17">
        <v>3</v>
      </c>
      <c r="T371" s="17" t="s">
        <v>77</v>
      </c>
      <c r="U371" s="17" t="s">
        <v>83</v>
      </c>
      <c r="V371" s="17" t="s">
        <v>83</v>
      </c>
    </row>
    <row r="372" spans="1:22" x14ac:dyDescent="0.35">
      <c r="A372" s="14" t="s">
        <v>495</v>
      </c>
      <c r="B372" s="14" t="s">
        <v>467</v>
      </c>
      <c r="C372" s="14" t="s">
        <v>486</v>
      </c>
      <c r="D372" s="14" t="s">
        <v>88</v>
      </c>
      <c r="E372" s="14" t="s">
        <v>80</v>
      </c>
      <c r="F372" s="15">
        <v>4.2699999999999996</v>
      </c>
      <c r="G372" s="15">
        <v>12.62</v>
      </c>
      <c r="H372" s="15">
        <v>53.89</v>
      </c>
      <c r="I372" s="16">
        <v>95237</v>
      </c>
      <c r="J372" s="16">
        <v>5132322</v>
      </c>
      <c r="K372" s="16">
        <v>2098928</v>
      </c>
      <c r="L372" s="16">
        <v>3033394</v>
      </c>
      <c r="M372" s="16">
        <v>419786</v>
      </c>
      <c r="N372" s="16">
        <v>797593</v>
      </c>
      <c r="O372" s="16">
        <v>251871</v>
      </c>
      <c r="P372" s="16">
        <v>629678</v>
      </c>
      <c r="Q372" s="14" t="s">
        <v>86</v>
      </c>
      <c r="R372" s="14" t="s">
        <v>76</v>
      </c>
      <c r="S372" s="14">
        <v>5</v>
      </c>
      <c r="T372" s="14" t="s">
        <v>77</v>
      </c>
      <c r="U372" s="14" t="s">
        <v>78</v>
      </c>
      <c r="V372" s="14" t="s">
        <v>83</v>
      </c>
    </row>
    <row r="373" spans="1:22" x14ac:dyDescent="0.35">
      <c r="A373" s="17" t="s">
        <v>496</v>
      </c>
      <c r="B373" s="17" t="s">
        <v>467</v>
      </c>
      <c r="C373" s="17" t="s">
        <v>486</v>
      </c>
      <c r="D373" s="17" t="s">
        <v>88</v>
      </c>
      <c r="E373" s="17" t="s">
        <v>111</v>
      </c>
      <c r="F373" s="18">
        <v>2.2599999999999998</v>
      </c>
      <c r="G373" s="18">
        <v>0.71</v>
      </c>
      <c r="H373" s="18">
        <v>1.6</v>
      </c>
      <c r="I373" s="19">
        <v>560487</v>
      </c>
      <c r="J373" s="19">
        <v>896779</v>
      </c>
      <c r="K373" s="19">
        <v>366090</v>
      </c>
      <c r="L373" s="19">
        <v>530689</v>
      </c>
      <c r="M373" s="19">
        <v>73218</v>
      </c>
      <c r="N373" s="19">
        <v>139114</v>
      </c>
      <c r="O373" s="19">
        <v>43931</v>
      </c>
      <c r="P373" s="19">
        <v>109827</v>
      </c>
      <c r="Q373" s="17" t="s">
        <v>86</v>
      </c>
      <c r="R373" s="17" t="s">
        <v>81</v>
      </c>
      <c r="S373" s="17">
        <v>9</v>
      </c>
      <c r="T373" s="17" t="s">
        <v>77</v>
      </c>
      <c r="U373" s="17" t="s">
        <v>78</v>
      </c>
      <c r="V373" s="17" t="s">
        <v>83</v>
      </c>
    </row>
    <row r="374" spans="1:22" x14ac:dyDescent="0.35">
      <c r="A374" s="14" t="s">
        <v>497</v>
      </c>
      <c r="B374" s="14" t="s">
        <v>467</v>
      </c>
      <c r="C374" s="14" t="s">
        <v>486</v>
      </c>
      <c r="D374" s="14" t="s">
        <v>73</v>
      </c>
      <c r="E374" s="14" t="s">
        <v>105</v>
      </c>
      <c r="F374" s="15">
        <v>0.67</v>
      </c>
      <c r="G374" s="15">
        <v>1.38</v>
      </c>
      <c r="H374" s="15">
        <v>0.92</v>
      </c>
      <c r="I374" s="16">
        <v>468691</v>
      </c>
      <c r="J374" s="16">
        <v>431196</v>
      </c>
      <c r="K374" s="16">
        <v>151661</v>
      </c>
      <c r="L374" s="16">
        <v>279535</v>
      </c>
      <c r="M374" s="16">
        <v>30332</v>
      </c>
      <c r="N374" s="16">
        <v>57631</v>
      </c>
      <c r="O374" s="16">
        <v>18199</v>
      </c>
      <c r="P374" s="16">
        <v>45498</v>
      </c>
      <c r="Q374" s="14" t="s">
        <v>75</v>
      </c>
      <c r="R374" s="14" t="s">
        <v>81</v>
      </c>
      <c r="S374" s="14">
        <v>11</v>
      </c>
      <c r="T374" s="14" t="s">
        <v>82</v>
      </c>
      <c r="U374" s="14" t="s">
        <v>83</v>
      </c>
      <c r="V374" s="14" t="s">
        <v>78</v>
      </c>
    </row>
    <row r="375" spans="1:22" x14ac:dyDescent="0.35">
      <c r="A375" s="17" t="s">
        <v>498</v>
      </c>
      <c r="B375" s="17" t="s">
        <v>467</v>
      </c>
      <c r="C375" s="17" t="s">
        <v>486</v>
      </c>
      <c r="D375" s="17" t="s">
        <v>73</v>
      </c>
      <c r="E375" s="17" t="s">
        <v>98</v>
      </c>
      <c r="F375" s="18">
        <v>2.37</v>
      </c>
      <c r="G375" s="18">
        <v>1.92</v>
      </c>
      <c r="H375" s="18">
        <v>4.55</v>
      </c>
      <c r="I375" s="19">
        <v>314684</v>
      </c>
      <c r="J375" s="19">
        <v>1431812</v>
      </c>
      <c r="K375" s="19">
        <v>535687</v>
      </c>
      <c r="L375" s="19">
        <v>896125</v>
      </c>
      <c r="M375" s="19">
        <v>107137</v>
      </c>
      <c r="N375" s="19">
        <v>203561</v>
      </c>
      <c r="O375" s="19">
        <v>64282</v>
      </c>
      <c r="P375" s="19">
        <v>160706</v>
      </c>
      <c r="Q375" s="17" t="s">
        <v>75</v>
      </c>
      <c r="R375" s="17" t="s">
        <v>76</v>
      </c>
      <c r="S375" s="17">
        <v>11</v>
      </c>
      <c r="T375" s="17" t="s">
        <v>77</v>
      </c>
      <c r="U375" s="17" t="s">
        <v>83</v>
      </c>
      <c r="V375" s="17" t="s">
        <v>83</v>
      </c>
    </row>
    <row r="376" spans="1:22" x14ac:dyDescent="0.35">
      <c r="A376" s="14" t="s">
        <v>499</v>
      </c>
      <c r="B376" s="14" t="s">
        <v>467</v>
      </c>
      <c r="C376" s="14" t="s">
        <v>486</v>
      </c>
      <c r="D376" s="14" t="s">
        <v>73</v>
      </c>
      <c r="E376" s="14" t="s">
        <v>101</v>
      </c>
      <c r="F376" s="15">
        <v>4.68</v>
      </c>
      <c r="G376" s="15">
        <v>1.24</v>
      </c>
      <c r="H376" s="15">
        <v>5.8</v>
      </c>
      <c r="I376" s="16">
        <v>128105</v>
      </c>
      <c r="J376" s="16">
        <v>743009</v>
      </c>
      <c r="K376" s="16">
        <v>306101</v>
      </c>
      <c r="L376" s="16">
        <v>436908</v>
      </c>
      <c r="M376" s="16">
        <v>61220</v>
      </c>
      <c r="N376" s="16">
        <v>116318</v>
      </c>
      <c r="O376" s="16">
        <v>36732</v>
      </c>
      <c r="P376" s="16">
        <v>91830</v>
      </c>
      <c r="Q376" s="14" t="s">
        <v>75</v>
      </c>
      <c r="R376" s="14" t="s">
        <v>81</v>
      </c>
      <c r="S376" s="14">
        <v>11</v>
      </c>
      <c r="T376" s="14" t="s">
        <v>77</v>
      </c>
      <c r="U376" s="14" t="s">
        <v>78</v>
      </c>
      <c r="V376" s="14" t="s">
        <v>83</v>
      </c>
    </row>
    <row r="377" spans="1:22" x14ac:dyDescent="0.35">
      <c r="A377" s="17" t="s">
        <v>500</v>
      </c>
      <c r="B377" s="17" t="s">
        <v>467</v>
      </c>
      <c r="C377" s="17" t="s">
        <v>486</v>
      </c>
      <c r="D377" s="17" t="s">
        <v>73</v>
      </c>
      <c r="E377" s="17" t="s">
        <v>80</v>
      </c>
      <c r="F377" s="18">
        <v>0.61</v>
      </c>
      <c r="G377" s="18">
        <v>11.81</v>
      </c>
      <c r="H377" s="18">
        <v>7.2</v>
      </c>
      <c r="I377" s="19">
        <v>99852</v>
      </c>
      <c r="J377" s="19">
        <v>718934</v>
      </c>
      <c r="K377" s="19">
        <v>221422</v>
      </c>
      <c r="L377" s="19">
        <v>497512</v>
      </c>
      <c r="M377" s="19">
        <v>44284</v>
      </c>
      <c r="N377" s="19">
        <v>84140</v>
      </c>
      <c r="O377" s="19">
        <v>26571</v>
      </c>
      <c r="P377" s="19">
        <v>66427</v>
      </c>
      <c r="Q377" s="17" t="s">
        <v>86</v>
      </c>
      <c r="R377" s="17" t="s">
        <v>81</v>
      </c>
      <c r="S377" s="17">
        <v>7</v>
      </c>
      <c r="T377" s="17" t="s">
        <v>82</v>
      </c>
      <c r="U377" s="17" t="s">
        <v>78</v>
      </c>
      <c r="V377" s="17" t="s">
        <v>78</v>
      </c>
    </row>
    <row r="378" spans="1:22" x14ac:dyDescent="0.35">
      <c r="A378" s="14" t="s">
        <v>501</v>
      </c>
      <c r="B378" s="14" t="s">
        <v>467</v>
      </c>
      <c r="C378" s="14" t="s">
        <v>486</v>
      </c>
      <c r="D378" s="14" t="s">
        <v>73</v>
      </c>
      <c r="E378" s="14" t="s">
        <v>85</v>
      </c>
      <c r="F378" s="15">
        <v>3.89</v>
      </c>
      <c r="G378" s="15">
        <v>1.01</v>
      </c>
      <c r="H378" s="15">
        <v>3.93</v>
      </c>
      <c r="I378" s="16">
        <v>142247</v>
      </c>
      <c r="J378" s="16">
        <v>559031</v>
      </c>
      <c r="K378" s="16">
        <v>164549</v>
      </c>
      <c r="L378" s="16">
        <v>394482</v>
      </c>
      <c r="M378" s="16">
        <v>32910</v>
      </c>
      <c r="N378" s="16">
        <v>62529</v>
      </c>
      <c r="O378" s="16">
        <v>19746</v>
      </c>
      <c r="P378" s="16">
        <v>49365</v>
      </c>
      <c r="Q378" s="14" t="s">
        <v>75</v>
      </c>
      <c r="R378" s="14" t="s">
        <v>76</v>
      </c>
      <c r="S378" s="14">
        <v>11</v>
      </c>
      <c r="T378" s="14" t="s">
        <v>77</v>
      </c>
      <c r="U378" s="14" t="s">
        <v>78</v>
      </c>
      <c r="V378" s="14" t="s">
        <v>78</v>
      </c>
    </row>
    <row r="379" spans="1:22" x14ac:dyDescent="0.35">
      <c r="A379" s="17" t="s">
        <v>502</v>
      </c>
      <c r="B379" s="17" t="s">
        <v>467</v>
      </c>
      <c r="C379" s="17" t="s">
        <v>486</v>
      </c>
      <c r="D379" s="17" t="s">
        <v>88</v>
      </c>
      <c r="E379" s="17" t="s">
        <v>93</v>
      </c>
      <c r="F379" s="18">
        <v>2.58</v>
      </c>
      <c r="G379" s="18">
        <v>0.68</v>
      </c>
      <c r="H379" s="18">
        <v>1.75</v>
      </c>
      <c r="I379" s="19">
        <v>366500</v>
      </c>
      <c r="J379" s="19">
        <v>641375</v>
      </c>
      <c r="K379" s="19">
        <v>216990</v>
      </c>
      <c r="L379" s="19">
        <v>424385</v>
      </c>
      <c r="M379" s="19">
        <v>43398</v>
      </c>
      <c r="N379" s="19">
        <v>82456</v>
      </c>
      <c r="O379" s="19">
        <v>26039</v>
      </c>
      <c r="P379" s="19">
        <v>65097</v>
      </c>
      <c r="Q379" s="17" t="s">
        <v>75</v>
      </c>
      <c r="R379" s="17" t="s">
        <v>81</v>
      </c>
      <c r="S379" s="17">
        <v>11</v>
      </c>
      <c r="T379" s="17" t="s">
        <v>77</v>
      </c>
      <c r="U379" s="17" t="s">
        <v>78</v>
      </c>
      <c r="V379" s="17" t="s">
        <v>78</v>
      </c>
    </row>
    <row r="380" spans="1:22" x14ac:dyDescent="0.35">
      <c r="A380" s="14" t="s">
        <v>503</v>
      </c>
      <c r="B380" s="14" t="s">
        <v>467</v>
      </c>
      <c r="C380" s="14" t="s">
        <v>504</v>
      </c>
      <c r="D380" s="14" t="s">
        <v>88</v>
      </c>
      <c r="E380" s="14" t="s">
        <v>98</v>
      </c>
      <c r="F380" s="15">
        <v>2.99</v>
      </c>
      <c r="G380" s="15">
        <v>2.33</v>
      </c>
      <c r="H380" s="15">
        <v>6.97</v>
      </c>
      <c r="I380" s="16">
        <v>350258</v>
      </c>
      <c r="J380" s="16">
        <v>2441298</v>
      </c>
      <c r="K380" s="16">
        <v>904912</v>
      </c>
      <c r="L380" s="16">
        <v>1536386</v>
      </c>
      <c r="M380" s="16">
        <v>180982</v>
      </c>
      <c r="N380" s="16">
        <v>343867</v>
      </c>
      <c r="O380" s="16">
        <v>108589</v>
      </c>
      <c r="P380" s="16">
        <v>271474</v>
      </c>
      <c r="Q380" s="14" t="s">
        <v>75</v>
      </c>
      <c r="R380" s="14" t="s">
        <v>76</v>
      </c>
      <c r="S380" s="14">
        <v>6</v>
      </c>
      <c r="T380" s="14" t="s">
        <v>77</v>
      </c>
      <c r="U380" s="14" t="s">
        <v>78</v>
      </c>
      <c r="V380" s="14" t="s">
        <v>83</v>
      </c>
    </row>
    <row r="381" spans="1:22" x14ac:dyDescent="0.35">
      <c r="A381" s="17" t="s">
        <v>505</v>
      </c>
      <c r="B381" s="17" t="s">
        <v>467</v>
      </c>
      <c r="C381" s="17" t="s">
        <v>504</v>
      </c>
      <c r="D381" s="17" t="s">
        <v>73</v>
      </c>
      <c r="E381" s="17" t="s">
        <v>116</v>
      </c>
      <c r="F381" s="18">
        <v>1.1499999999999999</v>
      </c>
      <c r="G381" s="18">
        <v>1.45</v>
      </c>
      <c r="H381" s="18">
        <v>1.67</v>
      </c>
      <c r="I381" s="19">
        <v>145602</v>
      </c>
      <c r="J381" s="19">
        <v>243155</v>
      </c>
      <c r="K381" s="19">
        <v>80924</v>
      </c>
      <c r="L381" s="19">
        <v>162231</v>
      </c>
      <c r="M381" s="19">
        <v>16185</v>
      </c>
      <c r="N381" s="19">
        <v>30751</v>
      </c>
      <c r="O381" s="19">
        <v>9711</v>
      </c>
      <c r="P381" s="19">
        <v>24277</v>
      </c>
      <c r="Q381" s="17" t="s">
        <v>90</v>
      </c>
      <c r="R381" s="17" t="s">
        <v>81</v>
      </c>
      <c r="S381" s="17">
        <v>11</v>
      </c>
      <c r="T381" s="17" t="s">
        <v>82</v>
      </c>
      <c r="U381" s="17" t="s">
        <v>78</v>
      </c>
      <c r="V381" s="17" t="s">
        <v>78</v>
      </c>
    </row>
    <row r="382" spans="1:22" x14ac:dyDescent="0.35">
      <c r="A382" s="14" t="s">
        <v>506</v>
      </c>
      <c r="B382" s="14" t="s">
        <v>467</v>
      </c>
      <c r="C382" s="14" t="s">
        <v>504</v>
      </c>
      <c r="D382" s="14" t="s">
        <v>88</v>
      </c>
      <c r="E382" s="14" t="s">
        <v>116</v>
      </c>
      <c r="F382" s="15">
        <v>0.52</v>
      </c>
      <c r="G382" s="15">
        <v>1.5</v>
      </c>
      <c r="H382" s="15">
        <v>0.78</v>
      </c>
      <c r="I382" s="16">
        <v>164031</v>
      </c>
      <c r="J382" s="16">
        <v>127944</v>
      </c>
      <c r="K382" s="16">
        <v>36540</v>
      </c>
      <c r="L382" s="16">
        <v>91404</v>
      </c>
      <c r="M382" s="16">
        <v>7308</v>
      </c>
      <c r="N382" s="16">
        <v>13885</v>
      </c>
      <c r="O382" s="16">
        <v>4385</v>
      </c>
      <c r="P382" s="16">
        <v>10962</v>
      </c>
      <c r="Q382" s="14" t="s">
        <v>90</v>
      </c>
      <c r="R382" s="14" t="s">
        <v>76</v>
      </c>
      <c r="S382" s="14">
        <v>12</v>
      </c>
      <c r="T382" s="14" t="s">
        <v>82</v>
      </c>
      <c r="U382" s="14" t="s">
        <v>83</v>
      </c>
      <c r="V382" s="14" t="s">
        <v>83</v>
      </c>
    </row>
    <row r="383" spans="1:22" x14ac:dyDescent="0.35">
      <c r="A383" s="17" t="s">
        <v>507</v>
      </c>
      <c r="B383" s="17" t="s">
        <v>467</v>
      </c>
      <c r="C383" s="17" t="s">
        <v>504</v>
      </c>
      <c r="D383" s="17" t="s">
        <v>88</v>
      </c>
      <c r="E383" s="17" t="s">
        <v>105</v>
      </c>
      <c r="F383" s="18">
        <v>0.5</v>
      </c>
      <c r="G383" s="18">
        <v>1.24</v>
      </c>
      <c r="H383" s="18">
        <v>0.62</v>
      </c>
      <c r="I383" s="19">
        <v>423200</v>
      </c>
      <c r="J383" s="19">
        <v>262384</v>
      </c>
      <c r="K383" s="19">
        <v>108621</v>
      </c>
      <c r="L383" s="19">
        <v>153763</v>
      </c>
      <c r="M383" s="19">
        <v>21724</v>
      </c>
      <c r="N383" s="19">
        <v>41276</v>
      </c>
      <c r="O383" s="19">
        <v>13035</v>
      </c>
      <c r="P383" s="19">
        <v>32586</v>
      </c>
      <c r="Q383" s="17" t="s">
        <v>75</v>
      </c>
      <c r="R383" s="17" t="s">
        <v>76</v>
      </c>
      <c r="S383" s="17">
        <v>11</v>
      </c>
      <c r="T383" s="17" t="s">
        <v>82</v>
      </c>
      <c r="U383" s="17" t="s">
        <v>78</v>
      </c>
      <c r="V383" s="17" t="s">
        <v>83</v>
      </c>
    </row>
    <row r="384" spans="1:22" x14ac:dyDescent="0.35">
      <c r="A384" s="14" t="s">
        <v>508</v>
      </c>
      <c r="B384" s="14" t="s">
        <v>467</v>
      </c>
      <c r="C384" s="14" t="s">
        <v>504</v>
      </c>
      <c r="D384" s="14" t="s">
        <v>88</v>
      </c>
      <c r="E384" s="14" t="s">
        <v>93</v>
      </c>
      <c r="F384" s="15">
        <v>0.78</v>
      </c>
      <c r="G384" s="15">
        <v>0.78</v>
      </c>
      <c r="H384" s="15">
        <v>0.61</v>
      </c>
      <c r="I384" s="16">
        <v>347322</v>
      </c>
      <c r="J384" s="16">
        <v>211866</v>
      </c>
      <c r="K384" s="16">
        <v>69167</v>
      </c>
      <c r="L384" s="16">
        <v>142699</v>
      </c>
      <c r="M384" s="16">
        <v>13833</v>
      </c>
      <c r="N384" s="16">
        <v>26283</v>
      </c>
      <c r="O384" s="16">
        <v>8300</v>
      </c>
      <c r="P384" s="16">
        <v>20750</v>
      </c>
      <c r="Q384" s="14" t="s">
        <v>90</v>
      </c>
      <c r="R384" s="14" t="s">
        <v>81</v>
      </c>
      <c r="S384" s="14">
        <v>6</v>
      </c>
      <c r="T384" s="14" t="s">
        <v>82</v>
      </c>
      <c r="U384" s="14" t="s">
        <v>83</v>
      </c>
      <c r="V384" s="14" t="s">
        <v>83</v>
      </c>
    </row>
    <row r="385" spans="1:22" x14ac:dyDescent="0.35">
      <c r="A385" s="17" t="s">
        <v>509</v>
      </c>
      <c r="B385" s="17" t="s">
        <v>467</v>
      </c>
      <c r="C385" s="17" t="s">
        <v>504</v>
      </c>
      <c r="D385" s="17" t="s">
        <v>73</v>
      </c>
      <c r="E385" s="17" t="s">
        <v>105</v>
      </c>
      <c r="F385" s="18">
        <v>0.61</v>
      </c>
      <c r="G385" s="18">
        <v>1.18</v>
      </c>
      <c r="H385" s="18">
        <v>0.72</v>
      </c>
      <c r="I385" s="19">
        <v>387284</v>
      </c>
      <c r="J385" s="19">
        <v>278844</v>
      </c>
      <c r="K385" s="19">
        <v>103149</v>
      </c>
      <c r="L385" s="19">
        <v>175695</v>
      </c>
      <c r="M385" s="19">
        <v>20630</v>
      </c>
      <c r="N385" s="19">
        <v>39197</v>
      </c>
      <c r="O385" s="19">
        <v>12378</v>
      </c>
      <c r="P385" s="19">
        <v>30945</v>
      </c>
      <c r="Q385" s="17" t="s">
        <v>75</v>
      </c>
      <c r="R385" s="17" t="s">
        <v>76</v>
      </c>
      <c r="S385" s="17">
        <v>3</v>
      </c>
      <c r="T385" s="17" t="s">
        <v>82</v>
      </c>
      <c r="U385" s="17" t="s">
        <v>83</v>
      </c>
      <c r="V385" s="17" t="s">
        <v>83</v>
      </c>
    </row>
    <row r="386" spans="1:22" x14ac:dyDescent="0.35">
      <c r="A386" s="14" t="s">
        <v>510</v>
      </c>
      <c r="B386" s="14" t="s">
        <v>467</v>
      </c>
      <c r="C386" s="14" t="s">
        <v>504</v>
      </c>
      <c r="D386" s="14" t="s">
        <v>73</v>
      </c>
      <c r="E386" s="14" t="s">
        <v>96</v>
      </c>
      <c r="F386" s="15">
        <v>1.1499999999999999</v>
      </c>
      <c r="G386" s="15">
        <v>0.72</v>
      </c>
      <c r="H386" s="15">
        <v>0.83</v>
      </c>
      <c r="I386" s="16">
        <v>364591</v>
      </c>
      <c r="J386" s="16">
        <v>302611</v>
      </c>
      <c r="K386" s="16">
        <v>123340</v>
      </c>
      <c r="L386" s="16">
        <v>179271</v>
      </c>
      <c r="M386" s="16">
        <v>24668</v>
      </c>
      <c r="N386" s="16">
        <v>46869</v>
      </c>
      <c r="O386" s="16">
        <v>14801</v>
      </c>
      <c r="P386" s="16">
        <v>37002</v>
      </c>
      <c r="Q386" s="14" t="s">
        <v>90</v>
      </c>
      <c r="R386" s="14" t="s">
        <v>81</v>
      </c>
      <c r="S386" s="14">
        <v>10</v>
      </c>
      <c r="T386" s="14" t="s">
        <v>82</v>
      </c>
      <c r="U386" s="14" t="s">
        <v>78</v>
      </c>
      <c r="V386" s="14" t="s">
        <v>83</v>
      </c>
    </row>
    <row r="387" spans="1:22" x14ac:dyDescent="0.35">
      <c r="A387" s="17" t="s">
        <v>511</v>
      </c>
      <c r="B387" s="17" t="s">
        <v>467</v>
      </c>
      <c r="C387" s="17" t="s">
        <v>504</v>
      </c>
      <c r="D387" s="17" t="s">
        <v>88</v>
      </c>
      <c r="E387" s="17" t="s">
        <v>98</v>
      </c>
      <c r="F387" s="18">
        <v>2.04</v>
      </c>
      <c r="G387" s="18">
        <v>2.37</v>
      </c>
      <c r="H387" s="18">
        <v>4.83</v>
      </c>
      <c r="I387" s="19">
        <v>297072</v>
      </c>
      <c r="J387" s="19">
        <v>1434858</v>
      </c>
      <c r="K387" s="19">
        <v>593857</v>
      </c>
      <c r="L387" s="19">
        <v>841001</v>
      </c>
      <c r="M387" s="19">
        <v>118771</v>
      </c>
      <c r="N387" s="19">
        <v>225666</v>
      </c>
      <c r="O387" s="19">
        <v>71263</v>
      </c>
      <c r="P387" s="19">
        <v>178157</v>
      </c>
      <c r="Q387" s="17" t="s">
        <v>75</v>
      </c>
      <c r="R387" s="17" t="s">
        <v>76</v>
      </c>
      <c r="S387" s="17">
        <v>4</v>
      </c>
      <c r="T387" s="17" t="s">
        <v>77</v>
      </c>
      <c r="U387" s="17" t="s">
        <v>78</v>
      </c>
      <c r="V387" s="17" t="s">
        <v>83</v>
      </c>
    </row>
    <row r="388" spans="1:22" x14ac:dyDescent="0.35">
      <c r="A388" s="14" t="s">
        <v>512</v>
      </c>
      <c r="B388" s="14" t="s">
        <v>467</v>
      </c>
      <c r="C388" s="14" t="s">
        <v>504</v>
      </c>
      <c r="D388" s="14" t="s">
        <v>88</v>
      </c>
      <c r="E388" s="14" t="s">
        <v>98</v>
      </c>
      <c r="F388" s="15">
        <v>3.01</v>
      </c>
      <c r="G388" s="15">
        <v>1.54</v>
      </c>
      <c r="H388" s="15">
        <v>4.6399999999999997</v>
      </c>
      <c r="I388" s="16">
        <v>362546</v>
      </c>
      <c r="J388" s="16">
        <v>1682213</v>
      </c>
      <c r="K388" s="16">
        <v>677947</v>
      </c>
      <c r="L388" s="16">
        <v>1004266</v>
      </c>
      <c r="M388" s="16">
        <v>135589</v>
      </c>
      <c r="N388" s="16">
        <v>257620</v>
      </c>
      <c r="O388" s="16">
        <v>81354</v>
      </c>
      <c r="P388" s="16">
        <v>203384</v>
      </c>
      <c r="Q388" s="14" t="s">
        <v>75</v>
      </c>
      <c r="R388" s="14" t="s">
        <v>81</v>
      </c>
      <c r="S388" s="14">
        <v>4</v>
      </c>
      <c r="T388" s="14" t="s">
        <v>77</v>
      </c>
      <c r="U388" s="14" t="s">
        <v>83</v>
      </c>
      <c r="V388" s="14" t="s">
        <v>83</v>
      </c>
    </row>
    <row r="389" spans="1:22" x14ac:dyDescent="0.35">
      <c r="A389" s="17" t="s">
        <v>513</v>
      </c>
      <c r="B389" s="17" t="s">
        <v>467</v>
      </c>
      <c r="C389" s="17" t="s">
        <v>504</v>
      </c>
      <c r="D389" s="17" t="s">
        <v>73</v>
      </c>
      <c r="E389" s="17" t="s">
        <v>116</v>
      </c>
      <c r="F389" s="18">
        <v>2.11</v>
      </c>
      <c r="G389" s="18">
        <v>1.62</v>
      </c>
      <c r="H389" s="18">
        <v>3.42</v>
      </c>
      <c r="I389" s="19">
        <v>127057</v>
      </c>
      <c r="J389" s="19">
        <v>434535</v>
      </c>
      <c r="K389" s="19">
        <v>124971</v>
      </c>
      <c r="L389" s="19">
        <v>309564</v>
      </c>
      <c r="M389" s="19">
        <v>24994</v>
      </c>
      <c r="N389" s="19">
        <v>47489</v>
      </c>
      <c r="O389" s="19">
        <v>14997</v>
      </c>
      <c r="P389" s="19">
        <v>37491</v>
      </c>
      <c r="Q389" s="17" t="s">
        <v>90</v>
      </c>
      <c r="R389" s="17" t="s">
        <v>76</v>
      </c>
      <c r="S389" s="17">
        <v>12</v>
      </c>
      <c r="T389" s="17" t="s">
        <v>77</v>
      </c>
      <c r="U389" s="17" t="s">
        <v>78</v>
      </c>
      <c r="V389" s="17" t="s">
        <v>83</v>
      </c>
    </row>
    <row r="390" spans="1:22" x14ac:dyDescent="0.35">
      <c r="A390" s="14" t="s">
        <v>514</v>
      </c>
      <c r="B390" s="14" t="s">
        <v>467</v>
      </c>
      <c r="C390" s="14" t="s">
        <v>504</v>
      </c>
      <c r="D390" s="14" t="s">
        <v>88</v>
      </c>
      <c r="E390" s="14" t="s">
        <v>96</v>
      </c>
      <c r="F390" s="15">
        <v>1.29</v>
      </c>
      <c r="G390" s="15">
        <v>0.56000000000000005</v>
      </c>
      <c r="H390" s="15">
        <v>0.72</v>
      </c>
      <c r="I390" s="16">
        <v>368519</v>
      </c>
      <c r="J390" s="16">
        <v>265334</v>
      </c>
      <c r="K390" s="16">
        <v>88762</v>
      </c>
      <c r="L390" s="16">
        <v>176572</v>
      </c>
      <c r="M390" s="16">
        <v>17752</v>
      </c>
      <c r="N390" s="16">
        <v>33730</v>
      </c>
      <c r="O390" s="16">
        <v>10651</v>
      </c>
      <c r="P390" s="16">
        <v>26629</v>
      </c>
      <c r="Q390" s="14" t="s">
        <v>86</v>
      </c>
      <c r="R390" s="14" t="s">
        <v>76</v>
      </c>
      <c r="S390" s="14">
        <v>12</v>
      </c>
      <c r="T390" s="14" t="s">
        <v>82</v>
      </c>
      <c r="U390" s="14" t="s">
        <v>78</v>
      </c>
      <c r="V390" s="14" t="s">
        <v>83</v>
      </c>
    </row>
    <row r="391" spans="1:22" x14ac:dyDescent="0.35">
      <c r="A391" s="17" t="s">
        <v>515</v>
      </c>
      <c r="B391" s="17" t="s">
        <v>467</v>
      </c>
      <c r="C391" s="17" t="s">
        <v>504</v>
      </c>
      <c r="D391" s="17" t="s">
        <v>73</v>
      </c>
      <c r="E391" s="17" t="s">
        <v>111</v>
      </c>
      <c r="F391" s="18">
        <v>2.95</v>
      </c>
      <c r="G391" s="18">
        <v>0.67</v>
      </c>
      <c r="H391" s="18">
        <v>1.98</v>
      </c>
      <c r="I391" s="19">
        <v>552923</v>
      </c>
      <c r="J391" s="19">
        <v>1094788</v>
      </c>
      <c r="K391" s="19">
        <v>322808</v>
      </c>
      <c r="L391" s="19">
        <v>771980</v>
      </c>
      <c r="M391" s="19">
        <v>64562</v>
      </c>
      <c r="N391" s="19">
        <v>122667</v>
      </c>
      <c r="O391" s="19">
        <v>38737</v>
      </c>
      <c r="P391" s="19">
        <v>96842</v>
      </c>
      <c r="Q391" s="17" t="s">
        <v>75</v>
      </c>
      <c r="R391" s="17" t="s">
        <v>81</v>
      </c>
      <c r="S391" s="17">
        <v>12</v>
      </c>
      <c r="T391" s="17" t="s">
        <v>77</v>
      </c>
      <c r="U391" s="17" t="s">
        <v>78</v>
      </c>
      <c r="V391" s="17" t="s">
        <v>83</v>
      </c>
    </row>
    <row r="392" spans="1:22" x14ac:dyDescent="0.35">
      <c r="A392" s="14" t="s">
        <v>516</v>
      </c>
      <c r="B392" s="14" t="s">
        <v>467</v>
      </c>
      <c r="C392" s="14" t="s">
        <v>517</v>
      </c>
      <c r="D392" s="14" t="s">
        <v>88</v>
      </c>
      <c r="E392" s="14" t="s">
        <v>96</v>
      </c>
      <c r="F392" s="15">
        <v>2.11</v>
      </c>
      <c r="G392" s="15">
        <v>0.43</v>
      </c>
      <c r="H392" s="15">
        <v>0.91</v>
      </c>
      <c r="I392" s="16">
        <v>349790</v>
      </c>
      <c r="J392" s="16">
        <v>318309</v>
      </c>
      <c r="K392" s="16">
        <v>98924</v>
      </c>
      <c r="L392" s="16">
        <v>219385</v>
      </c>
      <c r="M392" s="16">
        <v>19785</v>
      </c>
      <c r="N392" s="16">
        <v>37591</v>
      </c>
      <c r="O392" s="16">
        <v>11871</v>
      </c>
      <c r="P392" s="16">
        <v>29677</v>
      </c>
      <c r="Q392" s="14" t="s">
        <v>75</v>
      </c>
      <c r="R392" s="14" t="s">
        <v>81</v>
      </c>
      <c r="S392" s="14">
        <v>11</v>
      </c>
      <c r="T392" s="14" t="s">
        <v>77</v>
      </c>
      <c r="U392" s="14" t="s">
        <v>78</v>
      </c>
      <c r="V392" s="14" t="s">
        <v>83</v>
      </c>
    </row>
    <row r="393" spans="1:22" x14ac:dyDescent="0.35">
      <c r="A393" s="17" t="s">
        <v>518</v>
      </c>
      <c r="B393" s="17" t="s">
        <v>467</v>
      </c>
      <c r="C393" s="17" t="s">
        <v>517</v>
      </c>
      <c r="D393" s="17" t="s">
        <v>88</v>
      </c>
      <c r="E393" s="17" t="s">
        <v>116</v>
      </c>
      <c r="F393" s="18">
        <v>2.87</v>
      </c>
      <c r="G393" s="18">
        <v>1.91</v>
      </c>
      <c r="H393" s="18">
        <v>5.48</v>
      </c>
      <c r="I393" s="19">
        <v>157833</v>
      </c>
      <c r="J393" s="19">
        <v>864925</v>
      </c>
      <c r="K393" s="19">
        <v>330493</v>
      </c>
      <c r="L393" s="19">
        <v>534432</v>
      </c>
      <c r="M393" s="19">
        <v>66099</v>
      </c>
      <c r="N393" s="19">
        <v>125587</v>
      </c>
      <c r="O393" s="19">
        <v>39659</v>
      </c>
      <c r="P393" s="19">
        <v>99148</v>
      </c>
      <c r="Q393" s="17" t="s">
        <v>90</v>
      </c>
      <c r="R393" s="17" t="s">
        <v>76</v>
      </c>
      <c r="S393" s="17">
        <v>11</v>
      </c>
      <c r="T393" s="17" t="s">
        <v>77</v>
      </c>
      <c r="U393" s="17" t="s">
        <v>83</v>
      </c>
      <c r="V393" s="17" t="s">
        <v>78</v>
      </c>
    </row>
    <row r="394" spans="1:22" x14ac:dyDescent="0.35">
      <c r="A394" s="14" t="s">
        <v>519</v>
      </c>
      <c r="B394" s="14" t="s">
        <v>467</v>
      </c>
      <c r="C394" s="14" t="s">
        <v>517</v>
      </c>
      <c r="D394" s="14" t="s">
        <v>73</v>
      </c>
      <c r="E394" s="14" t="s">
        <v>74</v>
      </c>
      <c r="F394" s="15">
        <v>0.31</v>
      </c>
      <c r="G394" s="15">
        <v>8.99</v>
      </c>
      <c r="H394" s="15">
        <v>2.79</v>
      </c>
      <c r="I394" s="16">
        <v>182006</v>
      </c>
      <c r="J394" s="16">
        <v>507797</v>
      </c>
      <c r="K394" s="16">
        <v>209505</v>
      </c>
      <c r="L394" s="16">
        <v>298292</v>
      </c>
      <c r="M394" s="16">
        <v>41901</v>
      </c>
      <c r="N394" s="16">
        <v>79612</v>
      </c>
      <c r="O394" s="16">
        <v>25141</v>
      </c>
      <c r="P394" s="16">
        <v>62852</v>
      </c>
      <c r="Q394" s="14" t="s">
        <v>90</v>
      </c>
      <c r="R394" s="14" t="s">
        <v>76</v>
      </c>
      <c r="S394" s="14">
        <v>8</v>
      </c>
      <c r="T394" s="14" t="s">
        <v>82</v>
      </c>
      <c r="U394" s="14" t="s">
        <v>78</v>
      </c>
      <c r="V394" s="14" t="s">
        <v>83</v>
      </c>
    </row>
    <row r="395" spans="1:22" x14ac:dyDescent="0.35">
      <c r="A395" s="17" t="s">
        <v>520</v>
      </c>
      <c r="B395" s="17" t="s">
        <v>467</v>
      </c>
      <c r="C395" s="17" t="s">
        <v>517</v>
      </c>
      <c r="D395" s="17" t="s">
        <v>73</v>
      </c>
      <c r="E395" s="17" t="s">
        <v>93</v>
      </c>
      <c r="F395" s="18">
        <v>0.98</v>
      </c>
      <c r="G395" s="18">
        <v>0.92</v>
      </c>
      <c r="H395" s="18">
        <v>0.9</v>
      </c>
      <c r="I395" s="19">
        <v>418161</v>
      </c>
      <c r="J395" s="19">
        <v>376345</v>
      </c>
      <c r="K395" s="19">
        <v>115615</v>
      </c>
      <c r="L395" s="19">
        <v>260730</v>
      </c>
      <c r="M395" s="19">
        <v>23123</v>
      </c>
      <c r="N395" s="19">
        <v>43934</v>
      </c>
      <c r="O395" s="19">
        <v>13874</v>
      </c>
      <c r="P395" s="19">
        <v>34684</v>
      </c>
      <c r="Q395" s="17" t="s">
        <v>86</v>
      </c>
      <c r="R395" s="17" t="s">
        <v>76</v>
      </c>
      <c r="S395" s="17">
        <v>11</v>
      </c>
      <c r="T395" s="17" t="s">
        <v>82</v>
      </c>
      <c r="U395" s="17" t="s">
        <v>78</v>
      </c>
      <c r="V395" s="17" t="s">
        <v>83</v>
      </c>
    </row>
    <row r="396" spans="1:22" x14ac:dyDescent="0.35">
      <c r="A396" s="14" t="s">
        <v>521</v>
      </c>
      <c r="B396" s="14" t="s">
        <v>467</v>
      </c>
      <c r="C396" s="14" t="s">
        <v>517</v>
      </c>
      <c r="D396" s="14" t="s">
        <v>73</v>
      </c>
      <c r="E396" s="14" t="s">
        <v>93</v>
      </c>
      <c r="F396" s="15">
        <v>1.37</v>
      </c>
      <c r="G396" s="15">
        <v>0.81</v>
      </c>
      <c r="H396" s="15">
        <v>1.1100000000000001</v>
      </c>
      <c r="I396" s="16">
        <v>334195</v>
      </c>
      <c r="J396" s="16">
        <v>370956</v>
      </c>
      <c r="K396" s="16">
        <v>141550</v>
      </c>
      <c r="L396" s="16">
        <v>229406</v>
      </c>
      <c r="M396" s="16">
        <v>28310</v>
      </c>
      <c r="N396" s="16">
        <v>53789</v>
      </c>
      <c r="O396" s="16">
        <v>16986</v>
      </c>
      <c r="P396" s="16">
        <v>42465</v>
      </c>
      <c r="Q396" s="14" t="s">
        <v>90</v>
      </c>
      <c r="R396" s="14" t="s">
        <v>81</v>
      </c>
      <c r="S396" s="14">
        <v>8</v>
      </c>
      <c r="T396" s="14" t="s">
        <v>82</v>
      </c>
      <c r="U396" s="14" t="s">
        <v>78</v>
      </c>
      <c r="V396" s="14" t="s">
        <v>83</v>
      </c>
    </row>
    <row r="397" spans="1:22" x14ac:dyDescent="0.35">
      <c r="A397" s="17" t="s">
        <v>522</v>
      </c>
      <c r="B397" s="17" t="s">
        <v>467</v>
      </c>
      <c r="C397" s="17" t="s">
        <v>517</v>
      </c>
      <c r="D397" s="17" t="s">
        <v>73</v>
      </c>
      <c r="E397" s="17" t="s">
        <v>98</v>
      </c>
      <c r="F397" s="18">
        <v>1.36</v>
      </c>
      <c r="G397" s="18">
        <v>1.63</v>
      </c>
      <c r="H397" s="18">
        <v>2.2200000000000002</v>
      </c>
      <c r="I397" s="19">
        <v>299656</v>
      </c>
      <c r="J397" s="19">
        <v>665236</v>
      </c>
      <c r="K397" s="19">
        <v>231516</v>
      </c>
      <c r="L397" s="19">
        <v>433720</v>
      </c>
      <c r="M397" s="19">
        <v>46303</v>
      </c>
      <c r="N397" s="19">
        <v>87976</v>
      </c>
      <c r="O397" s="19">
        <v>27782</v>
      </c>
      <c r="P397" s="19">
        <v>69455</v>
      </c>
      <c r="Q397" s="17" t="s">
        <v>90</v>
      </c>
      <c r="R397" s="17" t="s">
        <v>81</v>
      </c>
      <c r="S397" s="17">
        <v>12</v>
      </c>
      <c r="T397" s="17" t="s">
        <v>82</v>
      </c>
      <c r="U397" s="17" t="s">
        <v>78</v>
      </c>
      <c r="V397" s="17" t="s">
        <v>83</v>
      </c>
    </row>
    <row r="398" spans="1:22" x14ac:dyDescent="0.35">
      <c r="A398" s="14" t="s">
        <v>523</v>
      </c>
      <c r="B398" s="14" t="s">
        <v>467</v>
      </c>
      <c r="C398" s="14" t="s">
        <v>517</v>
      </c>
      <c r="D398" s="14" t="s">
        <v>88</v>
      </c>
      <c r="E398" s="14" t="s">
        <v>111</v>
      </c>
      <c r="F398" s="15">
        <v>3.33</v>
      </c>
      <c r="G398" s="15">
        <v>0.98</v>
      </c>
      <c r="H398" s="15">
        <v>3.26</v>
      </c>
      <c r="I398" s="16">
        <v>441290</v>
      </c>
      <c r="J398" s="16">
        <v>1438605</v>
      </c>
      <c r="K398" s="16">
        <v>465892</v>
      </c>
      <c r="L398" s="16">
        <v>972713</v>
      </c>
      <c r="M398" s="16">
        <v>93178</v>
      </c>
      <c r="N398" s="16">
        <v>177039</v>
      </c>
      <c r="O398" s="16">
        <v>55907</v>
      </c>
      <c r="P398" s="16">
        <v>139768</v>
      </c>
      <c r="Q398" s="14" t="s">
        <v>86</v>
      </c>
      <c r="R398" s="14" t="s">
        <v>81</v>
      </c>
      <c r="S398" s="14">
        <v>7</v>
      </c>
      <c r="T398" s="14" t="s">
        <v>77</v>
      </c>
      <c r="U398" s="14" t="s">
        <v>78</v>
      </c>
      <c r="V398" s="14" t="s">
        <v>78</v>
      </c>
    </row>
    <row r="399" spans="1:22" x14ac:dyDescent="0.35">
      <c r="A399" s="17" t="s">
        <v>524</v>
      </c>
      <c r="B399" s="17" t="s">
        <v>467</v>
      </c>
      <c r="C399" s="17" t="s">
        <v>517</v>
      </c>
      <c r="D399" s="17" t="s">
        <v>88</v>
      </c>
      <c r="E399" s="17" t="s">
        <v>101</v>
      </c>
      <c r="F399" s="18">
        <v>3.05</v>
      </c>
      <c r="G399" s="18">
        <v>0.93</v>
      </c>
      <c r="H399" s="18">
        <v>2.84</v>
      </c>
      <c r="I399" s="19">
        <v>117705</v>
      </c>
      <c r="J399" s="19">
        <v>334282</v>
      </c>
      <c r="K399" s="19">
        <v>119417</v>
      </c>
      <c r="L399" s="19">
        <v>214865</v>
      </c>
      <c r="M399" s="19">
        <v>23883</v>
      </c>
      <c r="N399" s="19">
        <v>45378</v>
      </c>
      <c r="O399" s="19">
        <v>14330</v>
      </c>
      <c r="P399" s="19">
        <v>35825</v>
      </c>
      <c r="Q399" s="17" t="s">
        <v>86</v>
      </c>
      <c r="R399" s="17" t="s">
        <v>76</v>
      </c>
      <c r="S399" s="17">
        <v>7</v>
      </c>
      <c r="T399" s="17" t="s">
        <v>77</v>
      </c>
      <c r="U399" s="17" t="s">
        <v>78</v>
      </c>
      <c r="V399" s="17" t="s">
        <v>83</v>
      </c>
    </row>
    <row r="400" spans="1:22" x14ac:dyDescent="0.35">
      <c r="A400" s="14" t="s">
        <v>525</v>
      </c>
      <c r="B400" s="14" t="s">
        <v>467</v>
      </c>
      <c r="C400" s="14" t="s">
        <v>517</v>
      </c>
      <c r="D400" s="14" t="s">
        <v>88</v>
      </c>
      <c r="E400" s="14" t="s">
        <v>98</v>
      </c>
      <c r="F400" s="15">
        <v>2.7</v>
      </c>
      <c r="G400" s="15">
        <v>2.0099999999999998</v>
      </c>
      <c r="H400" s="15">
        <v>5.43</v>
      </c>
      <c r="I400" s="16">
        <v>352515</v>
      </c>
      <c r="J400" s="16">
        <v>1914156</v>
      </c>
      <c r="K400" s="16">
        <v>775032</v>
      </c>
      <c r="L400" s="16">
        <v>1139124</v>
      </c>
      <c r="M400" s="16">
        <v>155006</v>
      </c>
      <c r="N400" s="16">
        <v>294512</v>
      </c>
      <c r="O400" s="16">
        <v>93004</v>
      </c>
      <c r="P400" s="16">
        <v>232510</v>
      </c>
      <c r="Q400" s="14" t="s">
        <v>75</v>
      </c>
      <c r="R400" s="14" t="s">
        <v>76</v>
      </c>
      <c r="S400" s="14">
        <v>12</v>
      </c>
      <c r="T400" s="14" t="s">
        <v>77</v>
      </c>
      <c r="U400" s="14" t="s">
        <v>83</v>
      </c>
      <c r="V400" s="14" t="s">
        <v>83</v>
      </c>
    </row>
    <row r="401" spans="1:22" x14ac:dyDescent="0.35">
      <c r="A401" s="17" t="s">
        <v>526</v>
      </c>
      <c r="B401" s="17" t="s">
        <v>467</v>
      </c>
      <c r="C401" s="17" t="s">
        <v>517</v>
      </c>
      <c r="D401" s="17" t="s">
        <v>73</v>
      </c>
      <c r="E401" s="17" t="s">
        <v>111</v>
      </c>
      <c r="F401" s="18">
        <v>3.67</v>
      </c>
      <c r="G401" s="18">
        <v>0.93</v>
      </c>
      <c r="H401" s="18">
        <v>3.41</v>
      </c>
      <c r="I401" s="19">
        <v>496390</v>
      </c>
      <c r="J401" s="19">
        <v>1692690</v>
      </c>
      <c r="K401" s="19">
        <v>710628</v>
      </c>
      <c r="L401" s="19">
        <v>982062</v>
      </c>
      <c r="M401" s="19">
        <v>142126</v>
      </c>
      <c r="N401" s="19">
        <v>270039</v>
      </c>
      <c r="O401" s="19">
        <v>85275</v>
      </c>
      <c r="P401" s="19">
        <v>213188</v>
      </c>
      <c r="Q401" s="17" t="s">
        <v>90</v>
      </c>
      <c r="R401" s="17" t="s">
        <v>76</v>
      </c>
      <c r="S401" s="17">
        <v>8</v>
      </c>
      <c r="T401" s="17" t="s">
        <v>77</v>
      </c>
      <c r="U401" s="17" t="s">
        <v>78</v>
      </c>
      <c r="V401" s="17" t="s">
        <v>78</v>
      </c>
    </row>
    <row r="402" spans="1:22" x14ac:dyDescent="0.35">
      <c r="A402" s="14" t="s">
        <v>527</v>
      </c>
      <c r="B402" s="14" t="s">
        <v>467</v>
      </c>
      <c r="C402" s="14" t="s">
        <v>517</v>
      </c>
      <c r="D402" s="14" t="s">
        <v>88</v>
      </c>
      <c r="E402" s="14" t="s">
        <v>111</v>
      </c>
      <c r="F402" s="15">
        <v>0.97</v>
      </c>
      <c r="G402" s="15">
        <v>0.77</v>
      </c>
      <c r="H402" s="15">
        <v>0.75</v>
      </c>
      <c r="I402" s="16">
        <v>429811</v>
      </c>
      <c r="J402" s="16">
        <v>322358</v>
      </c>
      <c r="K402" s="16">
        <v>106682</v>
      </c>
      <c r="L402" s="16">
        <v>215676</v>
      </c>
      <c r="M402" s="16">
        <v>21336</v>
      </c>
      <c r="N402" s="16">
        <v>40539</v>
      </c>
      <c r="O402" s="16">
        <v>12802</v>
      </c>
      <c r="P402" s="16">
        <v>32005</v>
      </c>
      <c r="Q402" s="14" t="s">
        <v>86</v>
      </c>
      <c r="R402" s="14" t="s">
        <v>76</v>
      </c>
      <c r="S402" s="14">
        <v>12</v>
      </c>
      <c r="T402" s="14" t="s">
        <v>82</v>
      </c>
      <c r="U402" s="14" t="s">
        <v>83</v>
      </c>
      <c r="V402" s="14" t="s">
        <v>78</v>
      </c>
    </row>
    <row r="403" spans="1:22" x14ac:dyDescent="0.35">
      <c r="A403" s="17" t="s">
        <v>528</v>
      </c>
      <c r="B403" s="17" t="s">
        <v>467</v>
      </c>
      <c r="C403" s="17" t="s">
        <v>517</v>
      </c>
      <c r="D403" s="17" t="s">
        <v>73</v>
      </c>
      <c r="E403" s="17" t="s">
        <v>93</v>
      </c>
      <c r="F403" s="18">
        <v>1.84</v>
      </c>
      <c r="G403" s="18">
        <v>0.89</v>
      </c>
      <c r="H403" s="18">
        <v>1.64</v>
      </c>
      <c r="I403" s="19">
        <v>431153</v>
      </c>
      <c r="J403" s="19">
        <v>707091</v>
      </c>
      <c r="K403" s="19">
        <v>263263</v>
      </c>
      <c r="L403" s="19">
        <v>443828</v>
      </c>
      <c r="M403" s="19">
        <v>52653</v>
      </c>
      <c r="N403" s="19">
        <v>100040</v>
      </c>
      <c r="O403" s="19">
        <v>31592</v>
      </c>
      <c r="P403" s="19">
        <v>78979</v>
      </c>
      <c r="Q403" s="17" t="s">
        <v>86</v>
      </c>
      <c r="R403" s="17" t="s">
        <v>81</v>
      </c>
      <c r="S403" s="17">
        <v>8</v>
      </c>
      <c r="T403" s="17" t="s">
        <v>82</v>
      </c>
      <c r="U403" s="17" t="s">
        <v>78</v>
      </c>
      <c r="V403" s="17" t="s">
        <v>78</v>
      </c>
    </row>
    <row r="404" spans="1:22" x14ac:dyDescent="0.35">
      <c r="A404" s="14" t="s">
        <v>529</v>
      </c>
      <c r="B404" s="14" t="s">
        <v>467</v>
      </c>
      <c r="C404" s="14" t="s">
        <v>517</v>
      </c>
      <c r="D404" s="14" t="s">
        <v>73</v>
      </c>
      <c r="E404" s="14" t="s">
        <v>105</v>
      </c>
      <c r="F404" s="15">
        <v>0.47</v>
      </c>
      <c r="G404" s="15">
        <v>1.2</v>
      </c>
      <c r="H404" s="15">
        <v>0.56000000000000005</v>
      </c>
      <c r="I404" s="16">
        <v>362394</v>
      </c>
      <c r="J404" s="16">
        <v>202941</v>
      </c>
      <c r="K404" s="16">
        <v>62698</v>
      </c>
      <c r="L404" s="16">
        <v>140243</v>
      </c>
      <c r="M404" s="16">
        <v>12540</v>
      </c>
      <c r="N404" s="16">
        <v>23825</v>
      </c>
      <c r="O404" s="16">
        <v>7524</v>
      </c>
      <c r="P404" s="16">
        <v>18809</v>
      </c>
      <c r="Q404" s="14" t="s">
        <v>90</v>
      </c>
      <c r="R404" s="14" t="s">
        <v>81</v>
      </c>
      <c r="S404" s="14">
        <v>10</v>
      </c>
      <c r="T404" s="14" t="s">
        <v>82</v>
      </c>
      <c r="U404" s="14" t="s">
        <v>78</v>
      </c>
      <c r="V404" s="14" t="s">
        <v>78</v>
      </c>
    </row>
    <row r="405" spans="1:22" x14ac:dyDescent="0.35">
      <c r="A405" s="17" t="s">
        <v>530</v>
      </c>
      <c r="B405" s="17" t="s">
        <v>467</v>
      </c>
      <c r="C405" s="17" t="s">
        <v>517</v>
      </c>
      <c r="D405" s="17" t="s">
        <v>88</v>
      </c>
      <c r="E405" s="17" t="s">
        <v>80</v>
      </c>
      <c r="F405" s="18">
        <v>0.96</v>
      </c>
      <c r="G405" s="18">
        <v>16.329999999999998</v>
      </c>
      <c r="H405" s="18">
        <v>15.68</v>
      </c>
      <c r="I405" s="19">
        <v>98807</v>
      </c>
      <c r="J405" s="19">
        <v>1549294</v>
      </c>
      <c r="K405" s="19">
        <v>493124</v>
      </c>
      <c r="L405" s="19">
        <v>1056170</v>
      </c>
      <c r="M405" s="19">
        <v>98625</v>
      </c>
      <c r="N405" s="19">
        <v>187387</v>
      </c>
      <c r="O405" s="19">
        <v>59175</v>
      </c>
      <c r="P405" s="19">
        <v>147937</v>
      </c>
      <c r="Q405" s="17" t="s">
        <v>75</v>
      </c>
      <c r="R405" s="17" t="s">
        <v>81</v>
      </c>
      <c r="S405" s="17">
        <v>12</v>
      </c>
      <c r="T405" s="17" t="s">
        <v>82</v>
      </c>
      <c r="U405" s="17" t="s">
        <v>83</v>
      </c>
      <c r="V405" s="17" t="s">
        <v>83</v>
      </c>
    </row>
    <row r="406" spans="1:22" x14ac:dyDescent="0.35">
      <c r="A406" s="14" t="s">
        <v>531</v>
      </c>
      <c r="B406" s="14" t="s">
        <v>467</v>
      </c>
      <c r="C406" s="14" t="s">
        <v>517</v>
      </c>
      <c r="D406" s="14" t="s">
        <v>88</v>
      </c>
      <c r="E406" s="14" t="s">
        <v>116</v>
      </c>
      <c r="F406" s="15">
        <v>2.79</v>
      </c>
      <c r="G406" s="15">
        <v>1.41</v>
      </c>
      <c r="H406" s="15">
        <v>3.93</v>
      </c>
      <c r="I406" s="16">
        <v>151670</v>
      </c>
      <c r="J406" s="16">
        <v>596063</v>
      </c>
      <c r="K406" s="16">
        <v>236617</v>
      </c>
      <c r="L406" s="16">
        <v>359446</v>
      </c>
      <c r="M406" s="16">
        <v>47323</v>
      </c>
      <c r="N406" s="16">
        <v>89914</v>
      </c>
      <c r="O406" s="16">
        <v>28394</v>
      </c>
      <c r="P406" s="16">
        <v>70985</v>
      </c>
      <c r="Q406" s="14" t="s">
        <v>75</v>
      </c>
      <c r="R406" s="14" t="s">
        <v>81</v>
      </c>
      <c r="S406" s="14">
        <v>9</v>
      </c>
      <c r="T406" s="14" t="s">
        <v>77</v>
      </c>
      <c r="U406" s="14" t="s">
        <v>78</v>
      </c>
      <c r="V406" s="14" t="s">
        <v>83</v>
      </c>
    </row>
    <row r="407" spans="1:22" x14ac:dyDescent="0.35">
      <c r="A407" s="17" t="s">
        <v>532</v>
      </c>
      <c r="B407" s="17" t="s">
        <v>467</v>
      </c>
      <c r="C407" s="17" t="s">
        <v>533</v>
      </c>
      <c r="D407" s="17" t="s">
        <v>88</v>
      </c>
      <c r="E407" s="17" t="s">
        <v>101</v>
      </c>
      <c r="F407" s="18">
        <v>3.18</v>
      </c>
      <c r="G407" s="18">
        <v>1.01</v>
      </c>
      <c r="H407" s="18">
        <v>3.21</v>
      </c>
      <c r="I407" s="19">
        <v>128908</v>
      </c>
      <c r="J407" s="19">
        <v>413795</v>
      </c>
      <c r="K407" s="19">
        <v>144935</v>
      </c>
      <c r="L407" s="19">
        <v>268860</v>
      </c>
      <c r="M407" s="19">
        <v>28987</v>
      </c>
      <c r="N407" s="19">
        <v>55075</v>
      </c>
      <c r="O407" s="19">
        <v>17392</v>
      </c>
      <c r="P407" s="19">
        <v>43480</v>
      </c>
      <c r="Q407" s="17" t="s">
        <v>86</v>
      </c>
      <c r="R407" s="17" t="s">
        <v>81</v>
      </c>
      <c r="S407" s="17">
        <v>5</v>
      </c>
      <c r="T407" s="17" t="s">
        <v>77</v>
      </c>
      <c r="U407" s="17" t="s">
        <v>78</v>
      </c>
      <c r="V407" s="17" t="s">
        <v>78</v>
      </c>
    </row>
    <row r="408" spans="1:22" x14ac:dyDescent="0.35">
      <c r="A408" s="14" t="s">
        <v>534</v>
      </c>
      <c r="B408" s="14" t="s">
        <v>467</v>
      </c>
      <c r="C408" s="14" t="s">
        <v>533</v>
      </c>
      <c r="D408" s="14" t="s">
        <v>88</v>
      </c>
      <c r="E408" s="14" t="s">
        <v>93</v>
      </c>
      <c r="F408" s="15">
        <v>1.1299999999999999</v>
      </c>
      <c r="G408" s="15">
        <v>0.76</v>
      </c>
      <c r="H408" s="15">
        <v>0.86</v>
      </c>
      <c r="I408" s="16">
        <v>364293</v>
      </c>
      <c r="J408" s="16">
        <v>313292</v>
      </c>
      <c r="K408" s="16">
        <v>119183</v>
      </c>
      <c r="L408" s="16">
        <v>194109</v>
      </c>
      <c r="M408" s="16">
        <v>23837</v>
      </c>
      <c r="N408" s="16">
        <v>45290</v>
      </c>
      <c r="O408" s="16">
        <v>14302</v>
      </c>
      <c r="P408" s="16">
        <v>35755</v>
      </c>
      <c r="Q408" s="14" t="s">
        <v>86</v>
      </c>
      <c r="R408" s="14" t="s">
        <v>76</v>
      </c>
      <c r="S408" s="14">
        <v>9</v>
      </c>
      <c r="T408" s="14" t="s">
        <v>82</v>
      </c>
      <c r="U408" s="14" t="s">
        <v>78</v>
      </c>
      <c r="V408" s="14" t="s">
        <v>83</v>
      </c>
    </row>
    <row r="409" spans="1:22" x14ac:dyDescent="0.35">
      <c r="A409" s="17" t="s">
        <v>535</v>
      </c>
      <c r="B409" s="17" t="s">
        <v>467</v>
      </c>
      <c r="C409" s="17" t="s">
        <v>533</v>
      </c>
      <c r="D409" s="17" t="s">
        <v>88</v>
      </c>
      <c r="E409" s="17" t="s">
        <v>74</v>
      </c>
      <c r="F409" s="18">
        <v>2.12</v>
      </c>
      <c r="G409" s="18">
        <v>7.13</v>
      </c>
      <c r="H409" s="18">
        <v>15.12</v>
      </c>
      <c r="I409" s="19">
        <v>184903</v>
      </c>
      <c r="J409" s="19">
        <v>2795733</v>
      </c>
      <c r="K409" s="19">
        <v>1036144</v>
      </c>
      <c r="L409" s="19">
        <v>1759589</v>
      </c>
      <c r="M409" s="19">
        <v>207229</v>
      </c>
      <c r="N409" s="19">
        <v>393735</v>
      </c>
      <c r="O409" s="19">
        <v>124337</v>
      </c>
      <c r="P409" s="19">
        <v>310843</v>
      </c>
      <c r="Q409" s="17" t="s">
        <v>90</v>
      </c>
      <c r="R409" s="17" t="s">
        <v>76</v>
      </c>
      <c r="S409" s="17">
        <v>6</v>
      </c>
      <c r="T409" s="17" t="s">
        <v>77</v>
      </c>
      <c r="U409" s="17" t="s">
        <v>78</v>
      </c>
      <c r="V409" s="17" t="s">
        <v>78</v>
      </c>
    </row>
    <row r="410" spans="1:22" x14ac:dyDescent="0.35">
      <c r="A410" s="14" t="s">
        <v>536</v>
      </c>
      <c r="B410" s="14" t="s">
        <v>467</v>
      </c>
      <c r="C410" s="14" t="s">
        <v>533</v>
      </c>
      <c r="D410" s="14" t="s">
        <v>73</v>
      </c>
      <c r="E410" s="14" t="s">
        <v>111</v>
      </c>
      <c r="F410" s="15">
        <v>0.97</v>
      </c>
      <c r="G410" s="15">
        <v>0.91</v>
      </c>
      <c r="H410" s="15">
        <v>0.88</v>
      </c>
      <c r="I410" s="16">
        <v>547447</v>
      </c>
      <c r="J410" s="16">
        <v>481753</v>
      </c>
      <c r="K410" s="16">
        <v>144796</v>
      </c>
      <c r="L410" s="16">
        <v>336957</v>
      </c>
      <c r="M410" s="16">
        <v>28959</v>
      </c>
      <c r="N410" s="16">
        <v>55022</v>
      </c>
      <c r="O410" s="16">
        <v>17376</v>
      </c>
      <c r="P410" s="16">
        <v>43439</v>
      </c>
      <c r="Q410" s="14" t="s">
        <v>86</v>
      </c>
      <c r="R410" s="14" t="s">
        <v>81</v>
      </c>
      <c r="S410" s="14">
        <v>5</v>
      </c>
      <c r="T410" s="14" t="s">
        <v>82</v>
      </c>
      <c r="U410" s="14" t="s">
        <v>83</v>
      </c>
      <c r="V410" s="14" t="s">
        <v>83</v>
      </c>
    </row>
    <row r="411" spans="1:22" x14ac:dyDescent="0.35">
      <c r="A411" s="17" t="s">
        <v>537</v>
      </c>
      <c r="B411" s="17" t="s">
        <v>467</v>
      </c>
      <c r="C411" s="17" t="s">
        <v>533</v>
      </c>
      <c r="D411" s="17" t="s">
        <v>73</v>
      </c>
      <c r="E411" s="17" t="s">
        <v>111</v>
      </c>
      <c r="F411" s="18">
        <v>3.57</v>
      </c>
      <c r="G411" s="18">
        <v>1.02</v>
      </c>
      <c r="H411" s="18">
        <v>3.64</v>
      </c>
      <c r="I411" s="19">
        <v>537232</v>
      </c>
      <c r="J411" s="19">
        <v>1955524</v>
      </c>
      <c r="K411" s="19">
        <v>806880</v>
      </c>
      <c r="L411" s="19">
        <v>1148644</v>
      </c>
      <c r="M411" s="19">
        <v>161376</v>
      </c>
      <c r="N411" s="19">
        <v>306614</v>
      </c>
      <c r="O411" s="19">
        <v>96826</v>
      </c>
      <c r="P411" s="19">
        <v>242064</v>
      </c>
      <c r="Q411" s="17" t="s">
        <v>86</v>
      </c>
      <c r="R411" s="17" t="s">
        <v>81</v>
      </c>
      <c r="S411" s="17">
        <v>12</v>
      </c>
      <c r="T411" s="17" t="s">
        <v>77</v>
      </c>
      <c r="U411" s="17" t="s">
        <v>78</v>
      </c>
      <c r="V411" s="17" t="s">
        <v>83</v>
      </c>
    </row>
    <row r="412" spans="1:22" x14ac:dyDescent="0.35">
      <c r="A412" s="14" t="s">
        <v>538</v>
      </c>
      <c r="B412" s="14" t="s">
        <v>467</v>
      </c>
      <c r="C412" s="14" t="s">
        <v>533</v>
      </c>
      <c r="D412" s="14" t="s">
        <v>73</v>
      </c>
      <c r="E412" s="14" t="s">
        <v>116</v>
      </c>
      <c r="F412" s="15">
        <v>3.41</v>
      </c>
      <c r="G412" s="15">
        <v>1.91</v>
      </c>
      <c r="H412" s="15">
        <v>6.51</v>
      </c>
      <c r="I412" s="16">
        <v>157816</v>
      </c>
      <c r="J412" s="16">
        <v>1027382</v>
      </c>
      <c r="K412" s="16">
        <v>405676</v>
      </c>
      <c r="L412" s="16">
        <v>621706</v>
      </c>
      <c r="M412" s="16">
        <v>81135</v>
      </c>
      <c r="N412" s="16">
        <v>154157</v>
      </c>
      <c r="O412" s="16">
        <v>48681</v>
      </c>
      <c r="P412" s="16">
        <v>121703</v>
      </c>
      <c r="Q412" s="14" t="s">
        <v>86</v>
      </c>
      <c r="R412" s="14" t="s">
        <v>81</v>
      </c>
      <c r="S412" s="14">
        <v>5</v>
      </c>
      <c r="T412" s="14" t="s">
        <v>77</v>
      </c>
      <c r="U412" s="14" t="s">
        <v>83</v>
      </c>
      <c r="V412" s="14" t="s">
        <v>83</v>
      </c>
    </row>
    <row r="413" spans="1:22" x14ac:dyDescent="0.35">
      <c r="A413" s="17" t="s">
        <v>539</v>
      </c>
      <c r="B413" s="17" t="s">
        <v>467</v>
      </c>
      <c r="C413" s="17" t="s">
        <v>533</v>
      </c>
      <c r="D413" s="17" t="s">
        <v>88</v>
      </c>
      <c r="E413" s="17" t="s">
        <v>101</v>
      </c>
      <c r="F413" s="18">
        <v>3.78</v>
      </c>
      <c r="G413" s="18">
        <v>0.76</v>
      </c>
      <c r="H413" s="18">
        <v>2.87</v>
      </c>
      <c r="I413" s="19">
        <v>120433</v>
      </c>
      <c r="J413" s="19">
        <v>345643</v>
      </c>
      <c r="K413" s="19">
        <v>103178</v>
      </c>
      <c r="L413" s="19">
        <v>242465</v>
      </c>
      <c r="M413" s="19">
        <v>20636</v>
      </c>
      <c r="N413" s="19">
        <v>39208</v>
      </c>
      <c r="O413" s="19">
        <v>12381</v>
      </c>
      <c r="P413" s="19">
        <v>30953</v>
      </c>
      <c r="Q413" s="17" t="s">
        <v>86</v>
      </c>
      <c r="R413" s="17" t="s">
        <v>76</v>
      </c>
      <c r="S413" s="17">
        <v>11</v>
      </c>
      <c r="T413" s="17" t="s">
        <v>77</v>
      </c>
      <c r="U413" s="17" t="s">
        <v>83</v>
      </c>
      <c r="V413" s="17" t="s">
        <v>83</v>
      </c>
    </row>
    <row r="414" spans="1:22" x14ac:dyDescent="0.35">
      <c r="A414" s="14" t="s">
        <v>540</v>
      </c>
      <c r="B414" s="14" t="s">
        <v>467</v>
      </c>
      <c r="C414" s="14" t="s">
        <v>533</v>
      </c>
      <c r="D414" s="14" t="s">
        <v>73</v>
      </c>
      <c r="E414" s="14" t="s">
        <v>96</v>
      </c>
      <c r="F414" s="15">
        <v>1.63</v>
      </c>
      <c r="G414" s="15">
        <v>0.56000000000000005</v>
      </c>
      <c r="H414" s="15">
        <v>0.91</v>
      </c>
      <c r="I414" s="16">
        <v>436988</v>
      </c>
      <c r="J414" s="16">
        <v>397659</v>
      </c>
      <c r="K414" s="16">
        <v>144738</v>
      </c>
      <c r="L414" s="16">
        <v>252921</v>
      </c>
      <c r="M414" s="16">
        <v>28948</v>
      </c>
      <c r="N414" s="16">
        <v>55000</v>
      </c>
      <c r="O414" s="16">
        <v>17369</v>
      </c>
      <c r="P414" s="16">
        <v>43421</v>
      </c>
      <c r="Q414" s="14" t="s">
        <v>75</v>
      </c>
      <c r="R414" s="14" t="s">
        <v>76</v>
      </c>
      <c r="S414" s="14">
        <v>4</v>
      </c>
      <c r="T414" s="14" t="s">
        <v>82</v>
      </c>
      <c r="U414" s="14" t="s">
        <v>78</v>
      </c>
      <c r="V414" s="14" t="s">
        <v>83</v>
      </c>
    </row>
    <row r="415" spans="1:22" x14ac:dyDescent="0.35">
      <c r="A415" s="17" t="s">
        <v>541</v>
      </c>
      <c r="B415" s="17" t="s">
        <v>467</v>
      </c>
      <c r="C415" s="17" t="s">
        <v>533</v>
      </c>
      <c r="D415" s="17" t="s">
        <v>73</v>
      </c>
      <c r="E415" s="17" t="s">
        <v>116</v>
      </c>
      <c r="F415" s="18">
        <v>3.64</v>
      </c>
      <c r="G415" s="18">
        <v>2.1</v>
      </c>
      <c r="H415" s="18">
        <v>7.64</v>
      </c>
      <c r="I415" s="19">
        <v>151492</v>
      </c>
      <c r="J415" s="19">
        <v>1157399</v>
      </c>
      <c r="K415" s="19">
        <v>408662</v>
      </c>
      <c r="L415" s="19">
        <v>748737</v>
      </c>
      <c r="M415" s="19">
        <v>81732</v>
      </c>
      <c r="N415" s="19">
        <v>155292</v>
      </c>
      <c r="O415" s="19">
        <v>49039</v>
      </c>
      <c r="P415" s="19">
        <v>122599</v>
      </c>
      <c r="Q415" s="17" t="s">
        <v>90</v>
      </c>
      <c r="R415" s="17" t="s">
        <v>76</v>
      </c>
      <c r="S415" s="17">
        <v>11</v>
      </c>
      <c r="T415" s="17" t="s">
        <v>77</v>
      </c>
      <c r="U415" s="17" t="s">
        <v>78</v>
      </c>
      <c r="V415" s="17" t="s">
        <v>78</v>
      </c>
    </row>
    <row r="416" spans="1:22" x14ac:dyDescent="0.35">
      <c r="A416" s="14" t="s">
        <v>542</v>
      </c>
      <c r="B416" s="14" t="s">
        <v>467</v>
      </c>
      <c r="C416" s="14" t="s">
        <v>533</v>
      </c>
      <c r="D416" s="14" t="s">
        <v>88</v>
      </c>
      <c r="E416" s="14" t="s">
        <v>105</v>
      </c>
      <c r="F416" s="15">
        <v>1.25</v>
      </c>
      <c r="G416" s="15">
        <v>1.31</v>
      </c>
      <c r="H416" s="15">
        <v>1.64</v>
      </c>
      <c r="I416" s="16">
        <v>471390</v>
      </c>
      <c r="J416" s="16">
        <v>773080</v>
      </c>
      <c r="K416" s="16">
        <v>307073</v>
      </c>
      <c r="L416" s="16">
        <v>466007</v>
      </c>
      <c r="M416" s="16">
        <v>61415</v>
      </c>
      <c r="N416" s="16">
        <v>116688</v>
      </c>
      <c r="O416" s="16">
        <v>36849</v>
      </c>
      <c r="P416" s="16">
        <v>92122</v>
      </c>
      <c r="Q416" s="14" t="s">
        <v>75</v>
      </c>
      <c r="R416" s="14" t="s">
        <v>76</v>
      </c>
      <c r="S416" s="14">
        <v>9</v>
      </c>
      <c r="T416" s="14" t="s">
        <v>82</v>
      </c>
      <c r="U416" s="14" t="s">
        <v>78</v>
      </c>
      <c r="V416" s="14" t="s">
        <v>83</v>
      </c>
    </row>
    <row r="417" spans="1:22" x14ac:dyDescent="0.35">
      <c r="A417" s="17" t="s">
        <v>543</v>
      </c>
      <c r="B417" s="17" t="s">
        <v>467</v>
      </c>
      <c r="C417" s="17" t="s">
        <v>533</v>
      </c>
      <c r="D417" s="17" t="s">
        <v>73</v>
      </c>
      <c r="E417" s="17" t="s">
        <v>105</v>
      </c>
      <c r="F417" s="18">
        <v>2.76</v>
      </c>
      <c r="G417" s="18">
        <v>0.98</v>
      </c>
      <c r="H417" s="18">
        <v>2.7</v>
      </c>
      <c r="I417" s="19">
        <v>432385</v>
      </c>
      <c r="J417" s="19">
        <v>1167440</v>
      </c>
      <c r="K417" s="19">
        <v>415751</v>
      </c>
      <c r="L417" s="19">
        <v>751689</v>
      </c>
      <c r="M417" s="19">
        <v>83150</v>
      </c>
      <c r="N417" s="19">
        <v>157985</v>
      </c>
      <c r="O417" s="19">
        <v>49890</v>
      </c>
      <c r="P417" s="19">
        <v>124725</v>
      </c>
      <c r="Q417" s="17" t="s">
        <v>90</v>
      </c>
      <c r="R417" s="17" t="s">
        <v>76</v>
      </c>
      <c r="S417" s="17">
        <v>3</v>
      </c>
      <c r="T417" s="17" t="s">
        <v>77</v>
      </c>
      <c r="U417" s="17" t="s">
        <v>83</v>
      </c>
      <c r="V417" s="17" t="s">
        <v>83</v>
      </c>
    </row>
    <row r="418" spans="1:22" x14ac:dyDescent="0.35">
      <c r="A418" s="14" t="s">
        <v>544</v>
      </c>
      <c r="B418" s="14" t="s">
        <v>467</v>
      </c>
      <c r="C418" s="14" t="s">
        <v>533</v>
      </c>
      <c r="D418" s="14" t="s">
        <v>73</v>
      </c>
      <c r="E418" s="14" t="s">
        <v>80</v>
      </c>
      <c r="F418" s="15">
        <v>2.84</v>
      </c>
      <c r="G418" s="15">
        <v>13.88</v>
      </c>
      <c r="H418" s="15">
        <v>39.42</v>
      </c>
      <c r="I418" s="16">
        <v>86604</v>
      </c>
      <c r="J418" s="16">
        <v>3413930</v>
      </c>
      <c r="K418" s="16">
        <v>1340310</v>
      </c>
      <c r="L418" s="16">
        <v>2073620</v>
      </c>
      <c r="M418" s="16">
        <v>268062</v>
      </c>
      <c r="N418" s="16">
        <v>509318</v>
      </c>
      <c r="O418" s="16">
        <v>160837</v>
      </c>
      <c r="P418" s="16">
        <v>402093</v>
      </c>
      <c r="Q418" s="14" t="s">
        <v>90</v>
      </c>
      <c r="R418" s="14" t="s">
        <v>81</v>
      </c>
      <c r="S418" s="14">
        <v>4</v>
      </c>
      <c r="T418" s="14" t="s">
        <v>77</v>
      </c>
      <c r="U418" s="14" t="s">
        <v>78</v>
      </c>
      <c r="V418" s="14" t="s">
        <v>83</v>
      </c>
    </row>
    <row r="419" spans="1:22" x14ac:dyDescent="0.35">
      <c r="A419" s="17" t="s">
        <v>545</v>
      </c>
      <c r="B419" s="17" t="s">
        <v>467</v>
      </c>
      <c r="C419" s="17" t="s">
        <v>533</v>
      </c>
      <c r="D419" s="17" t="s">
        <v>88</v>
      </c>
      <c r="E419" s="17" t="s">
        <v>111</v>
      </c>
      <c r="F419" s="18">
        <v>1.41</v>
      </c>
      <c r="G419" s="18">
        <v>0.78</v>
      </c>
      <c r="H419" s="18">
        <v>1.1000000000000001</v>
      </c>
      <c r="I419" s="19">
        <v>499507</v>
      </c>
      <c r="J419" s="19">
        <v>549458</v>
      </c>
      <c r="K419" s="19">
        <v>200917</v>
      </c>
      <c r="L419" s="19">
        <v>348541</v>
      </c>
      <c r="M419" s="19">
        <v>40183</v>
      </c>
      <c r="N419" s="19">
        <v>76348</v>
      </c>
      <c r="O419" s="19">
        <v>24110</v>
      </c>
      <c r="P419" s="19">
        <v>60275</v>
      </c>
      <c r="Q419" s="17" t="s">
        <v>75</v>
      </c>
      <c r="R419" s="17" t="s">
        <v>81</v>
      </c>
      <c r="S419" s="17">
        <v>6</v>
      </c>
      <c r="T419" s="17" t="s">
        <v>82</v>
      </c>
      <c r="U419" s="17" t="s">
        <v>78</v>
      </c>
      <c r="V419" s="17" t="s">
        <v>83</v>
      </c>
    </row>
    <row r="420" spans="1:22" x14ac:dyDescent="0.35">
      <c r="A420" s="14" t="s">
        <v>546</v>
      </c>
      <c r="B420" s="14" t="s">
        <v>467</v>
      </c>
      <c r="C420" s="14" t="s">
        <v>533</v>
      </c>
      <c r="D420" s="14" t="s">
        <v>88</v>
      </c>
      <c r="E420" s="14" t="s">
        <v>93</v>
      </c>
      <c r="F420" s="15">
        <v>1.04</v>
      </c>
      <c r="G420" s="15">
        <v>0.97</v>
      </c>
      <c r="H420" s="15">
        <v>1.01</v>
      </c>
      <c r="I420" s="16">
        <v>378149</v>
      </c>
      <c r="J420" s="16">
        <v>381930</v>
      </c>
      <c r="K420" s="16">
        <v>159796</v>
      </c>
      <c r="L420" s="16">
        <v>222134</v>
      </c>
      <c r="M420" s="16">
        <v>31959</v>
      </c>
      <c r="N420" s="16">
        <v>60722</v>
      </c>
      <c r="O420" s="16">
        <v>19176</v>
      </c>
      <c r="P420" s="16">
        <v>47939</v>
      </c>
      <c r="Q420" s="14" t="s">
        <v>75</v>
      </c>
      <c r="R420" s="14" t="s">
        <v>81</v>
      </c>
      <c r="S420" s="14">
        <v>9</v>
      </c>
      <c r="T420" s="14" t="s">
        <v>82</v>
      </c>
      <c r="U420" s="14" t="s">
        <v>83</v>
      </c>
      <c r="V420" s="14" t="s">
        <v>78</v>
      </c>
    </row>
    <row r="421" spans="1:22" x14ac:dyDescent="0.35">
      <c r="A421" s="17" t="s">
        <v>547</v>
      </c>
      <c r="B421" s="17" t="s">
        <v>548</v>
      </c>
      <c r="C421" s="17" t="s">
        <v>549</v>
      </c>
      <c r="D421" s="17" t="s">
        <v>73</v>
      </c>
      <c r="E421" s="17" t="s">
        <v>74</v>
      </c>
      <c r="F421" s="18">
        <v>1.51</v>
      </c>
      <c r="G421" s="18">
        <v>9.52</v>
      </c>
      <c r="H421" s="18">
        <v>14.38</v>
      </c>
      <c r="I421" s="19">
        <v>161737</v>
      </c>
      <c r="J421" s="19">
        <v>2325778</v>
      </c>
      <c r="K421" s="19">
        <v>721047</v>
      </c>
      <c r="L421" s="19">
        <v>1604731</v>
      </c>
      <c r="M421" s="19">
        <v>144209</v>
      </c>
      <c r="N421" s="19">
        <v>273998</v>
      </c>
      <c r="O421" s="19">
        <v>86526</v>
      </c>
      <c r="P421" s="19">
        <v>216314</v>
      </c>
      <c r="Q421" s="17" t="s">
        <v>90</v>
      </c>
      <c r="R421" s="17" t="s">
        <v>81</v>
      </c>
      <c r="S421" s="17">
        <v>11</v>
      </c>
      <c r="T421" s="17" t="s">
        <v>82</v>
      </c>
      <c r="U421" s="17" t="s">
        <v>83</v>
      </c>
      <c r="V421" s="17" t="s">
        <v>83</v>
      </c>
    </row>
    <row r="422" spans="1:22" x14ac:dyDescent="0.35">
      <c r="A422" s="14" t="s">
        <v>550</v>
      </c>
      <c r="B422" s="14" t="s">
        <v>548</v>
      </c>
      <c r="C422" s="14" t="s">
        <v>549</v>
      </c>
      <c r="D422" s="14" t="s">
        <v>73</v>
      </c>
      <c r="E422" s="14" t="s">
        <v>80</v>
      </c>
      <c r="F422" s="15">
        <v>2.25</v>
      </c>
      <c r="G422" s="15">
        <v>16.22</v>
      </c>
      <c r="H422" s="15">
        <v>36.49</v>
      </c>
      <c r="I422" s="16">
        <v>103675</v>
      </c>
      <c r="J422" s="16">
        <v>3783101</v>
      </c>
      <c r="K422" s="16">
        <v>1495292</v>
      </c>
      <c r="L422" s="16">
        <v>2287809</v>
      </c>
      <c r="M422" s="16">
        <v>299058</v>
      </c>
      <c r="N422" s="16">
        <v>568211</v>
      </c>
      <c r="O422" s="16">
        <v>179435</v>
      </c>
      <c r="P422" s="16">
        <v>448588</v>
      </c>
      <c r="Q422" s="14" t="s">
        <v>90</v>
      </c>
      <c r="R422" s="14" t="s">
        <v>81</v>
      </c>
      <c r="S422" s="14">
        <v>4</v>
      </c>
      <c r="T422" s="14" t="s">
        <v>77</v>
      </c>
      <c r="U422" s="14" t="s">
        <v>78</v>
      </c>
      <c r="V422" s="14" t="s">
        <v>83</v>
      </c>
    </row>
    <row r="423" spans="1:22" x14ac:dyDescent="0.35">
      <c r="A423" s="17" t="s">
        <v>551</v>
      </c>
      <c r="B423" s="17" t="s">
        <v>548</v>
      </c>
      <c r="C423" s="17" t="s">
        <v>549</v>
      </c>
      <c r="D423" s="17" t="s">
        <v>88</v>
      </c>
      <c r="E423" s="17" t="s">
        <v>98</v>
      </c>
      <c r="F423" s="18">
        <v>0.74</v>
      </c>
      <c r="G423" s="18">
        <v>1.35</v>
      </c>
      <c r="H423" s="18">
        <v>1</v>
      </c>
      <c r="I423" s="19">
        <v>318548</v>
      </c>
      <c r="J423" s="19">
        <v>318548</v>
      </c>
      <c r="K423" s="19">
        <v>133097</v>
      </c>
      <c r="L423" s="19">
        <v>185451</v>
      </c>
      <c r="M423" s="19">
        <v>26619</v>
      </c>
      <c r="N423" s="19">
        <v>50577</v>
      </c>
      <c r="O423" s="19">
        <v>15972</v>
      </c>
      <c r="P423" s="19">
        <v>39929</v>
      </c>
      <c r="Q423" s="17" t="s">
        <v>75</v>
      </c>
      <c r="R423" s="17" t="s">
        <v>81</v>
      </c>
      <c r="S423" s="17">
        <v>12</v>
      </c>
      <c r="T423" s="17" t="s">
        <v>82</v>
      </c>
      <c r="U423" s="17" t="s">
        <v>78</v>
      </c>
      <c r="V423" s="17" t="s">
        <v>78</v>
      </c>
    </row>
    <row r="424" spans="1:22" x14ac:dyDescent="0.35">
      <c r="A424" s="14" t="s">
        <v>552</v>
      </c>
      <c r="B424" s="14" t="s">
        <v>548</v>
      </c>
      <c r="C424" s="14" t="s">
        <v>549</v>
      </c>
      <c r="D424" s="14" t="s">
        <v>88</v>
      </c>
      <c r="E424" s="14" t="s">
        <v>105</v>
      </c>
      <c r="F424" s="15">
        <v>0.33</v>
      </c>
      <c r="G424" s="15">
        <v>1.34</v>
      </c>
      <c r="H424" s="15">
        <v>0.44</v>
      </c>
      <c r="I424" s="16">
        <v>474276</v>
      </c>
      <c r="J424" s="16">
        <v>208681</v>
      </c>
      <c r="K424" s="16">
        <v>73569</v>
      </c>
      <c r="L424" s="16">
        <v>135112</v>
      </c>
      <c r="M424" s="16">
        <v>14714</v>
      </c>
      <c r="N424" s="16">
        <v>27956</v>
      </c>
      <c r="O424" s="16">
        <v>8828</v>
      </c>
      <c r="P424" s="16">
        <v>22071</v>
      </c>
      <c r="Q424" s="14" t="s">
        <v>86</v>
      </c>
      <c r="R424" s="14" t="s">
        <v>76</v>
      </c>
      <c r="S424" s="14">
        <v>12</v>
      </c>
      <c r="T424" s="14" t="s">
        <v>82</v>
      </c>
      <c r="U424" s="14" t="s">
        <v>83</v>
      </c>
      <c r="V424" s="14" t="s">
        <v>83</v>
      </c>
    </row>
    <row r="425" spans="1:22" x14ac:dyDescent="0.35">
      <c r="A425" s="17" t="s">
        <v>553</v>
      </c>
      <c r="B425" s="17" t="s">
        <v>548</v>
      </c>
      <c r="C425" s="17" t="s">
        <v>549</v>
      </c>
      <c r="D425" s="17" t="s">
        <v>73</v>
      </c>
      <c r="E425" s="17" t="s">
        <v>98</v>
      </c>
      <c r="F425" s="18">
        <v>2.52</v>
      </c>
      <c r="G425" s="18">
        <v>2.0099999999999998</v>
      </c>
      <c r="H425" s="18">
        <v>5.07</v>
      </c>
      <c r="I425" s="19">
        <v>345347</v>
      </c>
      <c r="J425" s="19">
        <v>1750909</v>
      </c>
      <c r="K425" s="19">
        <v>729412</v>
      </c>
      <c r="L425" s="19">
        <v>1021497</v>
      </c>
      <c r="M425" s="19">
        <v>145882</v>
      </c>
      <c r="N425" s="19">
        <v>277177</v>
      </c>
      <c r="O425" s="19">
        <v>87529</v>
      </c>
      <c r="P425" s="19">
        <v>218824</v>
      </c>
      <c r="Q425" s="17" t="s">
        <v>86</v>
      </c>
      <c r="R425" s="17" t="s">
        <v>81</v>
      </c>
      <c r="S425" s="17">
        <v>9</v>
      </c>
      <c r="T425" s="17" t="s">
        <v>77</v>
      </c>
      <c r="U425" s="17" t="s">
        <v>78</v>
      </c>
      <c r="V425" s="17" t="s">
        <v>83</v>
      </c>
    </row>
    <row r="426" spans="1:22" x14ac:dyDescent="0.35">
      <c r="A426" s="14" t="s">
        <v>554</v>
      </c>
      <c r="B426" s="14" t="s">
        <v>548</v>
      </c>
      <c r="C426" s="14" t="s">
        <v>549</v>
      </c>
      <c r="D426" s="14" t="s">
        <v>88</v>
      </c>
      <c r="E426" s="14" t="s">
        <v>96</v>
      </c>
      <c r="F426" s="15">
        <v>1.59</v>
      </c>
      <c r="G426" s="15">
        <v>0.6</v>
      </c>
      <c r="H426" s="15">
        <v>0.95</v>
      </c>
      <c r="I426" s="16">
        <v>417720</v>
      </c>
      <c r="J426" s="16">
        <v>396834</v>
      </c>
      <c r="K426" s="16">
        <v>114926</v>
      </c>
      <c r="L426" s="16">
        <v>281908</v>
      </c>
      <c r="M426" s="16">
        <v>22985</v>
      </c>
      <c r="N426" s="16">
        <v>43672</v>
      </c>
      <c r="O426" s="16">
        <v>13791</v>
      </c>
      <c r="P426" s="16">
        <v>34478</v>
      </c>
      <c r="Q426" s="14" t="s">
        <v>86</v>
      </c>
      <c r="R426" s="14" t="s">
        <v>81</v>
      </c>
      <c r="S426" s="14">
        <v>11</v>
      </c>
      <c r="T426" s="14" t="s">
        <v>82</v>
      </c>
      <c r="U426" s="14" t="s">
        <v>83</v>
      </c>
      <c r="V426" s="14" t="s">
        <v>83</v>
      </c>
    </row>
    <row r="427" spans="1:22" x14ac:dyDescent="0.35">
      <c r="A427" s="17" t="s">
        <v>555</v>
      </c>
      <c r="B427" s="17" t="s">
        <v>548</v>
      </c>
      <c r="C427" s="17" t="s">
        <v>549</v>
      </c>
      <c r="D427" s="17" t="s">
        <v>88</v>
      </c>
      <c r="E427" s="17" t="s">
        <v>101</v>
      </c>
      <c r="F427" s="18">
        <v>1.74</v>
      </c>
      <c r="G427" s="18">
        <v>1.3</v>
      </c>
      <c r="H427" s="18">
        <v>2.2599999999999998</v>
      </c>
      <c r="I427" s="19">
        <v>123303</v>
      </c>
      <c r="J427" s="19">
        <v>278665</v>
      </c>
      <c r="K427" s="19">
        <v>93786</v>
      </c>
      <c r="L427" s="19">
        <v>184879</v>
      </c>
      <c r="M427" s="19">
        <v>18757</v>
      </c>
      <c r="N427" s="19">
        <v>35639</v>
      </c>
      <c r="O427" s="19">
        <v>11254</v>
      </c>
      <c r="P427" s="19">
        <v>28136</v>
      </c>
      <c r="Q427" s="17" t="s">
        <v>86</v>
      </c>
      <c r="R427" s="17" t="s">
        <v>81</v>
      </c>
      <c r="S427" s="17">
        <v>5</v>
      </c>
      <c r="T427" s="17" t="s">
        <v>82</v>
      </c>
      <c r="U427" s="17" t="s">
        <v>78</v>
      </c>
      <c r="V427" s="17" t="s">
        <v>83</v>
      </c>
    </row>
    <row r="428" spans="1:22" x14ac:dyDescent="0.35">
      <c r="A428" s="14" t="s">
        <v>556</v>
      </c>
      <c r="B428" s="14" t="s">
        <v>548</v>
      </c>
      <c r="C428" s="14" t="s">
        <v>549</v>
      </c>
      <c r="D428" s="14" t="s">
        <v>73</v>
      </c>
      <c r="E428" s="14" t="s">
        <v>74</v>
      </c>
      <c r="F428" s="15">
        <v>1.66</v>
      </c>
      <c r="G428" s="15">
        <v>7.68</v>
      </c>
      <c r="H428" s="15">
        <v>12.75</v>
      </c>
      <c r="I428" s="16">
        <v>159318</v>
      </c>
      <c r="J428" s="16">
        <v>2031304</v>
      </c>
      <c r="K428" s="16">
        <v>714735</v>
      </c>
      <c r="L428" s="16">
        <v>1316569</v>
      </c>
      <c r="M428" s="16">
        <v>142947</v>
      </c>
      <c r="N428" s="16">
        <v>271599</v>
      </c>
      <c r="O428" s="16">
        <v>85768</v>
      </c>
      <c r="P428" s="16">
        <v>214420</v>
      </c>
      <c r="Q428" s="14" t="s">
        <v>90</v>
      </c>
      <c r="R428" s="14" t="s">
        <v>81</v>
      </c>
      <c r="S428" s="14">
        <v>10</v>
      </c>
      <c r="T428" s="14" t="s">
        <v>82</v>
      </c>
      <c r="U428" s="14" t="s">
        <v>78</v>
      </c>
      <c r="V428" s="14" t="s">
        <v>83</v>
      </c>
    </row>
    <row r="429" spans="1:22" x14ac:dyDescent="0.35">
      <c r="A429" s="17" t="s">
        <v>557</v>
      </c>
      <c r="B429" s="17" t="s">
        <v>548</v>
      </c>
      <c r="C429" s="17" t="s">
        <v>549</v>
      </c>
      <c r="D429" s="17" t="s">
        <v>73</v>
      </c>
      <c r="E429" s="17" t="s">
        <v>105</v>
      </c>
      <c r="F429" s="18">
        <v>2.35</v>
      </c>
      <c r="G429" s="18">
        <v>1.66</v>
      </c>
      <c r="H429" s="18">
        <v>3.9</v>
      </c>
      <c r="I429" s="19">
        <v>414815</v>
      </c>
      <c r="J429" s="19">
        <v>1617778</v>
      </c>
      <c r="K429" s="19">
        <v>557326</v>
      </c>
      <c r="L429" s="19">
        <v>1060452</v>
      </c>
      <c r="M429" s="19">
        <v>111465</v>
      </c>
      <c r="N429" s="19">
        <v>211784</v>
      </c>
      <c r="O429" s="19">
        <v>66879</v>
      </c>
      <c r="P429" s="19">
        <v>167198</v>
      </c>
      <c r="Q429" s="17" t="s">
        <v>75</v>
      </c>
      <c r="R429" s="17" t="s">
        <v>76</v>
      </c>
      <c r="S429" s="17">
        <v>10</v>
      </c>
      <c r="T429" s="17" t="s">
        <v>77</v>
      </c>
      <c r="U429" s="17" t="s">
        <v>78</v>
      </c>
      <c r="V429" s="17" t="s">
        <v>83</v>
      </c>
    </row>
    <row r="430" spans="1:22" x14ac:dyDescent="0.35">
      <c r="A430" s="14" t="s">
        <v>558</v>
      </c>
      <c r="B430" s="14" t="s">
        <v>548</v>
      </c>
      <c r="C430" s="14" t="s">
        <v>549</v>
      </c>
      <c r="D430" s="14" t="s">
        <v>88</v>
      </c>
      <c r="E430" s="14" t="s">
        <v>74</v>
      </c>
      <c r="F430" s="15">
        <v>2.0099999999999998</v>
      </c>
      <c r="G430" s="15">
        <v>9.3699999999999992</v>
      </c>
      <c r="H430" s="15">
        <v>18.829999999999998</v>
      </c>
      <c r="I430" s="16">
        <v>189553</v>
      </c>
      <c r="J430" s="16">
        <v>3569283</v>
      </c>
      <c r="K430" s="16">
        <v>1114295</v>
      </c>
      <c r="L430" s="16">
        <v>2454988</v>
      </c>
      <c r="M430" s="16">
        <v>222859</v>
      </c>
      <c r="N430" s="16">
        <v>423432</v>
      </c>
      <c r="O430" s="16">
        <v>133715</v>
      </c>
      <c r="P430" s="16">
        <v>334288</v>
      </c>
      <c r="Q430" s="14" t="s">
        <v>90</v>
      </c>
      <c r="R430" s="14" t="s">
        <v>81</v>
      </c>
      <c r="S430" s="14">
        <v>8</v>
      </c>
      <c r="T430" s="14" t="s">
        <v>77</v>
      </c>
      <c r="U430" s="14" t="s">
        <v>83</v>
      </c>
      <c r="V430" s="14" t="s">
        <v>83</v>
      </c>
    </row>
    <row r="431" spans="1:22" x14ac:dyDescent="0.35">
      <c r="A431" s="17" t="s">
        <v>559</v>
      </c>
      <c r="B431" s="17" t="s">
        <v>548</v>
      </c>
      <c r="C431" s="17" t="s">
        <v>549</v>
      </c>
      <c r="D431" s="17" t="s">
        <v>88</v>
      </c>
      <c r="E431" s="17" t="s">
        <v>80</v>
      </c>
      <c r="F431" s="18">
        <v>1.62</v>
      </c>
      <c r="G431" s="18">
        <v>9.64</v>
      </c>
      <c r="H431" s="18">
        <v>15.62</v>
      </c>
      <c r="I431" s="19">
        <v>99950</v>
      </c>
      <c r="J431" s="19">
        <v>1561219</v>
      </c>
      <c r="K431" s="19">
        <v>616604</v>
      </c>
      <c r="L431" s="19">
        <v>944615</v>
      </c>
      <c r="M431" s="19">
        <v>123321</v>
      </c>
      <c r="N431" s="19">
        <v>234310</v>
      </c>
      <c r="O431" s="19">
        <v>73992</v>
      </c>
      <c r="P431" s="19">
        <v>184981</v>
      </c>
      <c r="Q431" s="17" t="s">
        <v>86</v>
      </c>
      <c r="R431" s="17" t="s">
        <v>76</v>
      </c>
      <c r="S431" s="17">
        <v>10</v>
      </c>
      <c r="T431" s="17" t="s">
        <v>82</v>
      </c>
      <c r="U431" s="17" t="s">
        <v>78</v>
      </c>
      <c r="V431" s="17" t="s">
        <v>83</v>
      </c>
    </row>
    <row r="432" spans="1:22" x14ac:dyDescent="0.35">
      <c r="A432" s="14" t="s">
        <v>560</v>
      </c>
      <c r="B432" s="14" t="s">
        <v>548</v>
      </c>
      <c r="C432" s="14" t="s">
        <v>549</v>
      </c>
      <c r="D432" s="14" t="s">
        <v>88</v>
      </c>
      <c r="E432" s="14" t="s">
        <v>98</v>
      </c>
      <c r="F432" s="15">
        <v>1.05</v>
      </c>
      <c r="G432" s="15">
        <v>2.15</v>
      </c>
      <c r="H432" s="15">
        <v>2.2599999999999998</v>
      </c>
      <c r="I432" s="16">
        <v>372595</v>
      </c>
      <c r="J432" s="16">
        <v>842065</v>
      </c>
      <c r="K432" s="16">
        <v>258197</v>
      </c>
      <c r="L432" s="16">
        <v>583868</v>
      </c>
      <c r="M432" s="16">
        <v>51639</v>
      </c>
      <c r="N432" s="16">
        <v>98115</v>
      </c>
      <c r="O432" s="16">
        <v>30984</v>
      </c>
      <c r="P432" s="16">
        <v>77459</v>
      </c>
      <c r="Q432" s="14" t="s">
        <v>75</v>
      </c>
      <c r="R432" s="14" t="s">
        <v>76</v>
      </c>
      <c r="S432" s="14">
        <v>6</v>
      </c>
      <c r="T432" s="14" t="s">
        <v>82</v>
      </c>
      <c r="U432" s="14" t="s">
        <v>83</v>
      </c>
      <c r="V432" s="14" t="s">
        <v>78</v>
      </c>
    </row>
    <row r="433" spans="1:22" x14ac:dyDescent="0.35">
      <c r="A433" s="17" t="s">
        <v>561</v>
      </c>
      <c r="B433" s="17" t="s">
        <v>548</v>
      </c>
      <c r="C433" s="17" t="s">
        <v>549</v>
      </c>
      <c r="D433" s="17" t="s">
        <v>73</v>
      </c>
      <c r="E433" s="17" t="s">
        <v>85</v>
      </c>
      <c r="F433" s="18">
        <v>1.53</v>
      </c>
      <c r="G433" s="18">
        <v>1.68</v>
      </c>
      <c r="H433" s="18">
        <v>2.57</v>
      </c>
      <c r="I433" s="19">
        <v>143117</v>
      </c>
      <c r="J433" s="19">
        <v>367811</v>
      </c>
      <c r="K433" s="19">
        <v>121320</v>
      </c>
      <c r="L433" s="19">
        <v>246491</v>
      </c>
      <c r="M433" s="19">
        <v>24264</v>
      </c>
      <c r="N433" s="19">
        <v>46102</v>
      </c>
      <c r="O433" s="19">
        <v>14558</v>
      </c>
      <c r="P433" s="19">
        <v>36396</v>
      </c>
      <c r="Q433" s="17" t="s">
        <v>86</v>
      </c>
      <c r="R433" s="17" t="s">
        <v>76</v>
      </c>
      <c r="S433" s="17">
        <v>4</v>
      </c>
      <c r="T433" s="17" t="s">
        <v>82</v>
      </c>
      <c r="U433" s="17" t="s">
        <v>83</v>
      </c>
      <c r="V433" s="17" t="s">
        <v>83</v>
      </c>
    </row>
    <row r="434" spans="1:22" x14ac:dyDescent="0.35">
      <c r="A434" s="14" t="s">
        <v>562</v>
      </c>
      <c r="B434" s="14" t="s">
        <v>548</v>
      </c>
      <c r="C434" s="14" t="s">
        <v>549</v>
      </c>
      <c r="D434" s="14" t="s">
        <v>73</v>
      </c>
      <c r="E434" s="14" t="s">
        <v>105</v>
      </c>
      <c r="F434" s="15">
        <v>2.36</v>
      </c>
      <c r="G434" s="15">
        <v>1.33</v>
      </c>
      <c r="H434" s="15">
        <v>3.14</v>
      </c>
      <c r="I434" s="16">
        <v>362325</v>
      </c>
      <c r="J434" s="16">
        <v>1137700</v>
      </c>
      <c r="K434" s="16">
        <v>395375</v>
      </c>
      <c r="L434" s="16">
        <v>742325</v>
      </c>
      <c r="M434" s="16">
        <v>79075</v>
      </c>
      <c r="N434" s="16">
        <v>150242</v>
      </c>
      <c r="O434" s="16">
        <v>47445</v>
      </c>
      <c r="P434" s="16">
        <v>118612</v>
      </c>
      <c r="Q434" s="14" t="s">
        <v>75</v>
      </c>
      <c r="R434" s="14" t="s">
        <v>81</v>
      </c>
      <c r="S434" s="14">
        <v>10</v>
      </c>
      <c r="T434" s="14" t="s">
        <v>77</v>
      </c>
      <c r="U434" s="14" t="s">
        <v>83</v>
      </c>
      <c r="V434" s="14" t="s">
        <v>83</v>
      </c>
    </row>
    <row r="435" spans="1:22" x14ac:dyDescent="0.35">
      <c r="A435" s="17" t="s">
        <v>563</v>
      </c>
      <c r="B435" s="17" t="s">
        <v>548</v>
      </c>
      <c r="C435" s="17" t="s">
        <v>549</v>
      </c>
      <c r="D435" s="17" t="s">
        <v>73</v>
      </c>
      <c r="E435" s="17" t="s">
        <v>105</v>
      </c>
      <c r="F435" s="18">
        <v>2.96</v>
      </c>
      <c r="G435" s="18">
        <v>1.62</v>
      </c>
      <c r="H435" s="18">
        <v>4.8</v>
      </c>
      <c r="I435" s="19">
        <v>392314</v>
      </c>
      <c r="J435" s="19">
        <v>1883107</v>
      </c>
      <c r="K435" s="19">
        <v>585821</v>
      </c>
      <c r="L435" s="19">
        <v>1297286</v>
      </c>
      <c r="M435" s="19">
        <v>117164</v>
      </c>
      <c r="N435" s="19">
        <v>222612</v>
      </c>
      <c r="O435" s="19">
        <v>70299</v>
      </c>
      <c r="P435" s="19">
        <v>175746</v>
      </c>
      <c r="Q435" s="17" t="s">
        <v>75</v>
      </c>
      <c r="R435" s="17" t="s">
        <v>76</v>
      </c>
      <c r="S435" s="17">
        <v>3</v>
      </c>
      <c r="T435" s="17" t="s">
        <v>77</v>
      </c>
      <c r="U435" s="17" t="s">
        <v>83</v>
      </c>
      <c r="V435" s="17" t="s">
        <v>83</v>
      </c>
    </row>
    <row r="436" spans="1:22" x14ac:dyDescent="0.35">
      <c r="A436" s="14" t="s">
        <v>564</v>
      </c>
      <c r="B436" s="14" t="s">
        <v>548</v>
      </c>
      <c r="C436" s="14" t="s">
        <v>549</v>
      </c>
      <c r="D436" s="14" t="s">
        <v>73</v>
      </c>
      <c r="E436" s="14" t="s">
        <v>105</v>
      </c>
      <c r="F436" s="15">
        <v>1.66</v>
      </c>
      <c r="G436" s="15">
        <v>1.22</v>
      </c>
      <c r="H436" s="15">
        <v>2.0299999999999998</v>
      </c>
      <c r="I436" s="16">
        <v>443479</v>
      </c>
      <c r="J436" s="16">
        <v>900262</v>
      </c>
      <c r="K436" s="16">
        <v>274105</v>
      </c>
      <c r="L436" s="16">
        <v>626157</v>
      </c>
      <c r="M436" s="16">
        <v>54821</v>
      </c>
      <c r="N436" s="16">
        <v>104160</v>
      </c>
      <c r="O436" s="16">
        <v>32893</v>
      </c>
      <c r="P436" s="16">
        <v>82232</v>
      </c>
      <c r="Q436" s="14" t="s">
        <v>86</v>
      </c>
      <c r="R436" s="14" t="s">
        <v>81</v>
      </c>
      <c r="S436" s="14">
        <v>8</v>
      </c>
      <c r="T436" s="14" t="s">
        <v>82</v>
      </c>
      <c r="U436" s="14" t="s">
        <v>83</v>
      </c>
      <c r="V436" s="14" t="s">
        <v>78</v>
      </c>
    </row>
    <row r="437" spans="1:22" x14ac:dyDescent="0.35">
      <c r="A437" s="17" t="s">
        <v>565</v>
      </c>
      <c r="B437" s="17" t="s">
        <v>548</v>
      </c>
      <c r="C437" s="17" t="s">
        <v>549</v>
      </c>
      <c r="D437" s="17" t="s">
        <v>73</v>
      </c>
      <c r="E437" s="17" t="s">
        <v>80</v>
      </c>
      <c r="F437" s="18">
        <v>2.21</v>
      </c>
      <c r="G437" s="18">
        <v>11.41</v>
      </c>
      <c r="H437" s="18">
        <v>25.22</v>
      </c>
      <c r="I437" s="19">
        <v>91056</v>
      </c>
      <c r="J437" s="19">
        <v>2296432</v>
      </c>
      <c r="K437" s="19">
        <v>920084</v>
      </c>
      <c r="L437" s="19">
        <v>1376348</v>
      </c>
      <c r="M437" s="19">
        <v>184017</v>
      </c>
      <c r="N437" s="19">
        <v>349632</v>
      </c>
      <c r="O437" s="19">
        <v>110410</v>
      </c>
      <c r="P437" s="19">
        <v>276025</v>
      </c>
      <c r="Q437" s="17" t="s">
        <v>86</v>
      </c>
      <c r="R437" s="17" t="s">
        <v>81</v>
      </c>
      <c r="S437" s="17">
        <v>6</v>
      </c>
      <c r="T437" s="17" t="s">
        <v>77</v>
      </c>
      <c r="U437" s="17" t="s">
        <v>78</v>
      </c>
      <c r="V437" s="17" t="s">
        <v>83</v>
      </c>
    </row>
    <row r="438" spans="1:22" x14ac:dyDescent="0.35">
      <c r="A438" s="14" t="s">
        <v>566</v>
      </c>
      <c r="B438" s="14" t="s">
        <v>548</v>
      </c>
      <c r="C438" s="14" t="s">
        <v>549</v>
      </c>
      <c r="D438" s="14" t="s">
        <v>88</v>
      </c>
      <c r="E438" s="14" t="s">
        <v>111</v>
      </c>
      <c r="F438" s="15">
        <v>1.78</v>
      </c>
      <c r="G438" s="15">
        <v>0.76</v>
      </c>
      <c r="H438" s="15">
        <v>1.35</v>
      </c>
      <c r="I438" s="16">
        <v>447448</v>
      </c>
      <c r="J438" s="16">
        <v>604055</v>
      </c>
      <c r="K438" s="16">
        <v>228393</v>
      </c>
      <c r="L438" s="16">
        <v>375662</v>
      </c>
      <c r="M438" s="16">
        <v>45679</v>
      </c>
      <c r="N438" s="16">
        <v>86789</v>
      </c>
      <c r="O438" s="16">
        <v>27407</v>
      </c>
      <c r="P438" s="16">
        <v>68518</v>
      </c>
      <c r="Q438" s="14" t="s">
        <v>90</v>
      </c>
      <c r="R438" s="14" t="s">
        <v>81</v>
      </c>
      <c r="S438" s="14">
        <v>9</v>
      </c>
      <c r="T438" s="14" t="s">
        <v>82</v>
      </c>
      <c r="U438" s="14" t="s">
        <v>78</v>
      </c>
      <c r="V438" s="14" t="s">
        <v>83</v>
      </c>
    </row>
    <row r="439" spans="1:22" x14ac:dyDescent="0.35">
      <c r="A439" s="17" t="s">
        <v>567</v>
      </c>
      <c r="B439" s="17" t="s">
        <v>548</v>
      </c>
      <c r="C439" s="17" t="s">
        <v>568</v>
      </c>
      <c r="D439" s="17" t="s">
        <v>73</v>
      </c>
      <c r="E439" s="17" t="s">
        <v>111</v>
      </c>
      <c r="F439" s="18">
        <v>3.93</v>
      </c>
      <c r="G439" s="18">
        <v>1</v>
      </c>
      <c r="H439" s="18">
        <v>3.93</v>
      </c>
      <c r="I439" s="19">
        <v>536186</v>
      </c>
      <c r="J439" s="19">
        <v>2107211</v>
      </c>
      <c r="K439" s="19">
        <v>802667</v>
      </c>
      <c r="L439" s="19">
        <v>1304544</v>
      </c>
      <c r="M439" s="19">
        <v>160533</v>
      </c>
      <c r="N439" s="19">
        <v>305013</v>
      </c>
      <c r="O439" s="19">
        <v>96320</v>
      </c>
      <c r="P439" s="19">
        <v>240800</v>
      </c>
      <c r="Q439" s="17" t="s">
        <v>86</v>
      </c>
      <c r="R439" s="17" t="s">
        <v>81</v>
      </c>
      <c r="S439" s="17">
        <v>9</v>
      </c>
      <c r="T439" s="17" t="s">
        <v>77</v>
      </c>
      <c r="U439" s="17" t="s">
        <v>78</v>
      </c>
      <c r="V439" s="17" t="s">
        <v>78</v>
      </c>
    </row>
    <row r="440" spans="1:22" x14ac:dyDescent="0.35">
      <c r="A440" s="14" t="s">
        <v>569</v>
      </c>
      <c r="B440" s="14" t="s">
        <v>548</v>
      </c>
      <c r="C440" s="14" t="s">
        <v>568</v>
      </c>
      <c r="D440" s="14" t="s">
        <v>88</v>
      </c>
      <c r="E440" s="14" t="s">
        <v>116</v>
      </c>
      <c r="F440" s="15">
        <v>3.32</v>
      </c>
      <c r="G440" s="15">
        <v>1.23</v>
      </c>
      <c r="H440" s="15">
        <v>4.08</v>
      </c>
      <c r="I440" s="16">
        <v>144983</v>
      </c>
      <c r="J440" s="16">
        <v>591531</v>
      </c>
      <c r="K440" s="16">
        <v>248075</v>
      </c>
      <c r="L440" s="16">
        <v>343456</v>
      </c>
      <c r="M440" s="16">
        <v>49615</v>
      </c>
      <c r="N440" s="16">
        <v>94268</v>
      </c>
      <c r="O440" s="16">
        <v>29769</v>
      </c>
      <c r="P440" s="16">
        <v>74422</v>
      </c>
      <c r="Q440" s="14" t="s">
        <v>75</v>
      </c>
      <c r="R440" s="14" t="s">
        <v>81</v>
      </c>
      <c r="S440" s="14">
        <v>10</v>
      </c>
      <c r="T440" s="14" t="s">
        <v>77</v>
      </c>
      <c r="U440" s="14" t="s">
        <v>78</v>
      </c>
      <c r="V440" s="14" t="s">
        <v>83</v>
      </c>
    </row>
    <row r="441" spans="1:22" x14ac:dyDescent="0.35">
      <c r="A441" s="17" t="s">
        <v>570</v>
      </c>
      <c r="B441" s="17" t="s">
        <v>548</v>
      </c>
      <c r="C441" s="17" t="s">
        <v>568</v>
      </c>
      <c r="D441" s="17" t="s">
        <v>73</v>
      </c>
      <c r="E441" s="17" t="s">
        <v>93</v>
      </c>
      <c r="F441" s="18">
        <v>1.7</v>
      </c>
      <c r="G441" s="18">
        <v>1.23</v>
      </c>
      <c r="H441" s="18">
        <v>2.09</v>
      </c>
      <c r="I441" s="19">
        <v>329844</v>
      </c>
      <c r="J441" s="19">
        <v>689374</v>
      </c>
      <c r="K441" s="19">
        <v>271568</v>
      </c>
      <c r="L441" s="19">
        <v>417806</v>
      </c>
      <c r="M441" s="19">
        <v>54314</v>
      </c>
      <c r="N441" s="19">
        <v>103196</v>
      </c>
      <c r="O441" s="19">
        <v>32588</v>
      </c>
      <c r="P441" s="19">
        <v>81470</v>
      </c>
      <c r="Q441" s="17" t="s">
        <v>90</v>
      </c>
      <c r="R441" s="17" t="s">
        <v>76</v>
      </c>
      <c r="S441" s="17">
        <v>10</v>
      </c>
      <c r="T441" s="17" t="s">
        <v>82</v>
      </c>
      <c r="U441" s="17" t="s">
        <v>83</v>
      </c>
      <c r="V441" s="17" t="s">
        <v>83</v>
      </c>
    </row>
    <row r="442" spans="1:22" x14ac:dyDescent="0.35">
      <c r="A442" s="14" t="s">
        <v>571</v>
      </c>
      <c r="B442" s="14" t="s">
        <v>548</v>
      </c>
      <c r="C442" s="14" t="s">
        <v>568</v>
      </c>
      <c r="D442" s="14" t="s">
        <v>88</v>
      </c>
      <c r="E442" s="14" t="s">
        <v>85</v>
      </c>
      <c r="F442" s="15">
        <v>2.12</v>
      </c>
      <c r="G442" s="15">
        <v>1.23</v>
      </c>
      <c r="H442" s="15">
        <v>2.61</v>
      </c>
      <c r="I442" s="16">
        <v>142091</v>
      </c>
      <c r="J442" s="16">
        <v>370858</v>
      </c>
      <c r="K442" s="16">
        <v>121708</v>
      </c>
      <c r="L442" s="16">
        <v>249150</v>
      </c>
      <c r="M442" s="16">
        <v>24342</v>
      </c>
      <c r="N442" s="16">
        <v>46249</v>
      </c>
      <c r="O442" s="16">
        <v>14605</v>
      </c>
      <c r="P442" s="16">
        <v>36512</v>
      </c>
      <c r="Q442" s="14" t="s">
        <v>90</v>
      </c>
      <c r="R442" s="14" t="s">
        <v>76</v>
      </c>
      <c r="S442" s="14">
        <v>8</v>
      </c>
      <c r="T442" s="14" t="s">
        <v>77</v>
      </c>
      <c r="U442" s="14" t="s">
        <v>83</v>
      </c>
      <c r="V442" s="14" t="s">
        <v>83</v>
      </c>
    </row>
    <row r="443" spans="1:22" x14ac:dyDescent="0.35">
      <c r="A443" s="17" t="s">
        <v>572</v>
      </c>
      <c r="B443" s="17" t="s">
        <v>548</v>
      </c>
      <c r="C443" s="17" t="s">
        <v>568</v>
      </c>
      <c r="D443" s="17" t="s">
        <v>73</v>
      </c>
      <c r="E443" s="17" t="s">
        <v>98</v>
      </c>
      <c r="F443" s="18">
        <v>3.44</v>
      </c>
      <c r="G443" s="18">
        <v>1.92</v>
      </c>
      <c r="H443" s="18">
        <v>6.6</v>
      </c>
      <c r="I443" s="19">
        <v>312684</v>
      </c>
      <c r="J443" s="19">
        <v>2063714</v>
      </c>
      <c r="K443" s="19">
        <v>725318</v>
      </c>
      <c r="L443" s="19">
        <v>1338396</v>
      </c>
      <c r="M443" s="19">
        <v>145064</v>
      </c>
      <c r="N443" s="19">
        <v>275621</v>
      </c>
      <c r="O443" s="19">
        <v>87038</v>
      </c>
      <c r="P443" s="19">
        <v>217595</v>
      </c>
      <c r="Q443" s="17" t="s">
        <v>75</v>
      </c>
      <c r="R443" s="17" t="s">
        <v>81</v>
      </c>
      <c r="S443" s="17">
        <v>4</v>
      </c>
      <c r="T443" s="17" t="s">
        <v>77</v>
      </c>
      <c r="U443" s="17" t="s">
        <v>78</v>
      </c>
      <c r="V443" s="17" t="s">
        <v>83</v>
      </c>
    </row>
    <row r="444" spans="1:22" x14ac:dyDescent="0.35">
      <c r="A444" s="14" t="s">
        <v>573</v>
      </c>
      <c r="B444" s="14" t="s">
        <v>548</v>
      </c>
      <c r="C444" s="14" t="s">
        <v>568</v>
      </c>
      <c r="D444" s="14" t="s">
        <v>88</v>
      </c>
      <c r="E444" s="14" t="s">
        <v>85</v>
      </c>
      <c r="F444" s="15">
        <v>3.34</v>
      </c>
      <c r="G444" s="15">
        <v>0.94</v>
      </c>
      <c r="H444" s="15">
        <v>3.14</v>
      </c>
      <c r="I444" s="16">
        <v>117035</v>
      </c>
      <c r="J444" s="16">
        <v>367490</v>
      </c>
      <c r="K444" s="16">
        <v>144453</v>
      </c>
      <c r="L444" s="16">
        <v>223037</v>
      </c>
      <c r="M444" s="16">
        <v>28891</v>
      </c>
      <c r="N444" s="16">
        <v>54892</v>
      </c>
      <c r="O444" s="16">
        <v>17334</v>
      </c>
      <c r="P444" s="16">
        <v>43336</v>
      </c>
      <c r="Q444" s="14" t="s">
        <v>90</v>
      </c>
      <c r="R444" s="14" t="s">
        <v>81</v>
      </c>
      <c r="S444" s="14">
        <v>12</v>
      </c>
      <c r="T444" s="14" t="s">
        <v>77</v>
      </c>
      <c r="U444" s="14" t="s">
        <v>83</v>
      </c>
      <c r="V444" s="14" t="s">
        <v>83</v>
      </c>
    </row>
    <row r="445" spans="1:22" x14ac:dyDescent="0.35">
      <c r="A445" s="17" t="s">
        <v>574</v>
      </c>
      <c r="B445" s="17" t="s">
        <v>548</v>
      </c>
      <c r="C445" s="17" t="s">
        <v>568</v>
      </c>
      <c r="D445" s="17" t="s">
        <v>73</v>
      </c>
      <c r="E445" s="17" t="s">
        <v>74</v>
      </c>
      <c r="F445" s="18">
        <v>0.74</v>
      </c>
      <c r="G445" s="18">
        <v>7.11</v>
      </c>
      <c r="H445" s="18">
        <v>5.26</v>
      </c>
      <c r="I445" s="19">
        <v>170111</v>
      </c>
      <c r="J445" s="19">
        <v>894784</v>
      </c>
      <c r="K445" s="19">
        <v>287038</v>
      </c>
      <c r="L445" s="19">
        <v>607746</v>
      </c>
      <c r="M445" s="19">
        <v>57408</v>
      </c>
      <c r="N445" s="19">
        <v>109074</v>
      </c>
      <c r="O445" s="19">
        <v>34445</v>
      </c>
      <c r="P445" s="19">
        <v>86111</v>
      </c>
      <c r="Q445" s="17" t="s">
        <v>90</v>
      </c>
      <c r="R445" s="17" t="s">
        <v>81</v>
      </c>
      <c r="S445" s="17">
        <v>7</v>
      </c>
      <c r="T445" s="17" t="s">
        <v>82</v>
      </c>
      <c r="U445" s="17" t="s">
        <v>78</v>
      </c>
      <c r="V445" s="17" t="s">
        <v>83</v>
      </c>
    </row>
    <row r="446" spans="1:22" x14ac:dyDescent="0.35">
      <c r="A446" s="14" t="s">
        <v>575</v>
      </c>
      <c r="B446" s="14" t="s">
        <v>548</v>
      </c>
      <c r="C446" s="14" t="s">
        <v>568</v>
      </c>
      <c r="D446" s="14" t="s">
        <v>88</v>
      </c>
      <c r="E446" s="14" t="s">
        <v>111</v>
      </c>
      <c r="F446" s="15">
        <v>1.95</v>
      </c>
      <c r="G446" s="15">
        <v>0.62</v>
      </c>
      <c r="H446" s="15">
        <v>1.21</v>
      </c>
      <c r="I446" s="16">
        <v>419896</v>
      </c>
      <c r="J446" s="16">
        <v>508074</v>
      </c>
      <c r="K446" s="16">
        <v>194027</v>
      </c>
      <c r="L446" s="16">
        <v>314047</v>
      </c>
      <c r="M446" s="16">
        <v>38805</v>
      </c>
      <c r="N446" s="16">
        <v>73730</v>
      </c>
      <c r="O446" s="16">
        <v>23283</v>
      </c>
      <c r="P446" s="16">
        <v>58208</v>
      </c>
      <c r="Q446" s="14" t="s">
        <v>75</v>
      </c>
      <c r="R446" s="14" t="s">
        <v>81</v>
      </c>
      <c r="S446" s="14">
        <v>4</v>
      </c>
      <c r="T446" s="14" t="s">
        <v>82</v>
      </c>
      <c r="U446" s="14" t="s">
        <v>78</v>
      </c>
      <c r="V446" s="14" t="s">
        <v>78</v>
      </c>
    </row>
    <row r="447" spans="1:22" x14ac:dyDescent="0.35">
      <c r="A447" s="17" t="s">
        <v>576</v>
      </c>
      <c r="B447" s="17" t="s">
        <v>548</v>
      </c>
      <c r="C447" s="17" t="s">
        <v>568</v>
      </c>
      <c r="D447" s="17" t="s">
        <v>73</v>
      </c>
      <c r="E447" s="17" t="s">
        <v>96</v>
      </c>
      <c r="F447" s="18">
        <v>0.51</v>
      </c>
      <c r="G447" s="18">
        <v>0.88</v>
      </c>
      <c r="H447" s="18">
        <v>0.45</v>
      </c>
      <c r="I447" s="19">
        <v>386863</v>
      </c>
      <c r="J447" s="19">
        <v>174088</v>
      </c>
      <c r="K447" s="19">
        <v>50056</v>
      </c>
      <c r="L447" s="19">
        <v>124032</v>
      </c>
      <c r="M447" s="19">
        <v>10011</v>
      </c>
      <c r="N447" s="19">
        <v>19021</v>
      </c>
      <c r="O447" s="19">
        <v>6007</v>
      </c>
      <c r="P447" s="19">
        <v>15017</v>
      </c>
      <c r="Q447" s="17" t="s">
        <v>90</v>
      </c>
      <c r="R447" s="17" t="s">
        <v>76</v>
      </c>
      <c r="S447" s="17">
        <v>4</v>
      </c>
      <c r="T447" s="17" t="s">
        <v>82</v>
      </c>
      <c r="U447" s="17" t="s">
        <v>78</v>
      </c>
      <c r="V447" s="17" t="s">
        <v>83</v>
      </c>
    </row>
    <row r="448" spans="1:22" x14ac:dyDescent="0.35">
      <c r="A448" s="14" t="s">
        <v>577</v>
      </c>
      <c r="B448" s="14" t="s">
        <v>548</v>
      </c>
      <c r="C448" s="14" t="s">
        <v>568</v>
      </c>
      <c r="D448" s="14" t="s">
        <v>73</v>
      </c>
      <c r="E448" s="14" t="s">
        <v>116</v>
      </c>
      <c r="F448" s="15">
        <v>2.79</v>
      </c>
      <c r="G448" s="15">
        <v>2.2200000000000002</v>
      </c>
      <c r="H448" s="15">
        <v>6.19</v>
      </c>
      <c r="I448" s="16">
        <v>136708</v>
      </c>
      <c r="J448" s="16">
        <v>846223</v>
      </c>
      <c r="K448" s="16">
        <v>266252</v>
      </c>
      <c r="L448" s="16">
        <v>579971</v>
      </c>
      <c r="M448" s="16">
        <v>53250</v>
      </c>
      <c r="N448" s="16">
        <v>101176</v>
      </c>
      <c r="O448" s="16">
        <v>31950</v>
      </c>
      <c r="P448" s="16">
        <v>79876</v>
      </c>
      <c r="Q448" s="14" t="s">
        <v>90</v>
      </c>
      <c r="R448" s="14" t="s">
        <v>81</v>
      </c>
      <c r="S448" s="14">
        <v>5</v>
      </c>
      <c r="T448" s="14" t="s">
        <v>77</v>
      </c>
      <c r="U448" s="14" t="s">
        <v>78</v>
      </c>
      <c r="V448" s="14" t="s">
        <v>83</v>
      </c>
    </row>
    <row r="449" spans="1:22" x14ac:dyDescent="0.35">
      <c r="A449" s="17" t="s">
        <v>578</v>
      </c>
      <c r="B449" s="17" t="s">
        <v>548</v>
      </c>
      <c r="C449" s="17" t="s">
        <v>579</v>
      </c>
      <c r="D449" s="17" t="s">
        <v>73</v>
      </c>
      <c r="E449" s="17" t="s">
        <v>80</v>
      </c>
      <c r="F449" s="18">
        <v>3.49</v>
      </c>
      <c r="G449" s="18">
        <v>18.239999999999998</v>
      </c>
      <c r="H449" s="18">
        <v>63.66</v>
      </c>
      <c r="I449" s="19">
        <v>90018</v>
      </c>
      <c r="J449" s="19">
        <v>5730546</v>
      </c>
      <c r="K449" s="19">
        <v>1986561</v>
      </c>
      <c r="L449" s="19">
        <v>3743985</v>
      </c>
      <c r="M449" s="19">
        <v>397312</v>
      </c>
      <c r="N449" s="19">
        <v>754893</v>
      </c>
      <c r="O449" s="19">
        <v>238387</v>
      </c>
      <c r="P449" s="19">
        <v>595968</v>
      </c>
      <c r="Q449" s="17" t="s">
        <v>75</v>
      </c>
      <c r="R449" s="17" t="s">
        <v>81</v>
      </c>
      <c r="S449" s="17">
        <v>11</v>
      </c>
      <c r="T449" s="17" t="s">
        <v>77</v>
      </c>
      <c r="U449" s="17" t="s">
        <v>78</v>
      </c>
      <c r="V449" s="17" t="s">
        <v>78</v>
      </c>
    </row>
    <row r="450" spans="1:22" x14ac:dyDescent="0.35">
      <c r="A450" s="14" t="s">
        <v>580</v>
      </c>
      <c r="B450" s="14" t="s">
        <v>548</v>
      </c>
      <c r="C450" s="14" t="s">
        <v>579</v>
      </c>
      <c r="D450" s="14" t="s">
        <v>73</v>
      </c>
      <c r="E450" s="14" t="s">
        <v>93</v>
      </c>
      <c r="F450" s="15">
        <v>2.27</v>
      </c>
      <c r="G450" s="15">
        <v>1.07</v>
      </c>
      <c r="H450" s="15">
        <v>2.4300000000000002</v>
      </c>
      <c r="I450" s="16">
        <v>408376</v>
      </c>
      <c r="J450" s="16">
        <v>992354</v>
      </c>
      <c r="K450" s="16">
        <v>399741</v>
      </c>
      <c r="L450" s="16">
        <v>592613</v>
      </c>
      <c r="M450" s="16">
        <v>79948</v>
      </c>
      <c r="N450" s="16">
        <v>151902</v>
      </c>
      <c r="O450" s="16">
        <v>47969</v>
      </c>
      <c r="P450" s="16">
        <v>119922</v>
      </c>
      <c r="Q450" s="14" t="s">
        <v>90</v>
      </c>
      <c r="R450" s="14" t="s">
        <v>81</v>
      </c>
      <c r="S450" s="14">
        <v>8</v>
      </c>
      <c r="T450" s="14" t="s">
        <v>77</v>
      </c>
      <c r="U450" s="14" t="s">
        <v>78</v>
      </c>
      <c r="V450" s="14" t="s">
        <v>83</v>
      </c>
    </row>
    <row r="451" spans="1:22" x14ac:dyDescent="0.35">
      <c r="A451" s="17" t="s">
        <v>581</v>
      </c>
      <c r="B451" s="17" t="s">
        <v>548</v>
      </c>
      <c r="C451" s="17" t="s">
        <v>579</v>
      </c>
      <c r="D451" s="17" t="s">
        <v>73</v>
      </c>
      <c r="E451" s="17" t="s">
        <v>98</v>
      </c>
      <c r="F451" s="18">
        <v>1.83</v>
      </c>
      <c r="G451" s="18">
        <v>2.02</v>
      </c>
      <c r="H451" s="18">
        <v>3.7</v>
      </c>
      <c r="I451" s="19">
        <v>306221</v>
      </c>
      <c r="J451" s="19">
        <v>1133018</v>
      </c>
      <c r="K451" s="19">
        <v>365399</v>
      </c>
      <c r="L451" s="19">
        <v>767619</v>
      </c>
      <c r="M451" s="19">
        <v>73080</v>
      </c>
      <c r="N451" s="19">
        <v>138852</v>
      </c>
      <c r="O451" s="19">
        <v>43848</v>
      </c>
      <c r="P451" s="19">
        <v>109620</v>
      </c>
      <c r="Q451" s="17" t="s">
        <v>86</v>
      </c>
      <c r="R451" s="17" t="s">
        <v>76</v>
      </c>
      <c r="S451" s="17">
        <v>8</v>
      </c>
      <c r="T451" s="17" t="s">
        <v>82</v>
      </c>
      <c r="U451" s="17" t="s">
        <v>78</v>
      </c>
      <c r="V451" s="17" t="s">
        <v>83</v>
      </c>
    </row>
    <row r="452" spans="1:22" x14ac:dyDescent="0.35">
      <c r="A452" s="14" t="s">
        <v>582</v>
      </c>
      <c r="B452" s="14" t="s">
        <v>548</v>
      </c>
      <c r="C452" s="14" t="s">
        <v>579</v>
      </c>
      <c r="D452" s="14" t="s">
        <v>73</v>
      </c>
      <c r="E452" s="14" t="s">
        <v>93</v>
      </c>
      <c r="F452" s="15">
        <v>2.56</v>
      </c>
      <c r="G452" s="15">
        <v>1.0900000000000001</v>
      </c>
      <c r="H452" s="15">
        <v>2.79</v>
      </c>
      <c r="I452" s="16">
        <v>409124</v>
      </c>
      <c r="J452" s="16">
        <v>1141456</v>
      </c>
      <c r="K452" s="16">
        <v>367487</v>
      </c>
      <c r="L452" s="16">
        <v>773969</v>
      </c>
      <c r="M452" s="16">
        <v>73497</v>
      </c>
      <c r="N452" s="16">
        <v>139645</v>
      </c>
      <c r="O452" s="16">
        <v>44098</v>
      </c>
      <c r="P452" s="16">
        <v>110246</v>
      </c>
      <c r="Q452" s="14" t="s">
        <v>90</v>
      </c>
      <c r="R452" s="14" t="s">
        <v>81</v>
      </c>
      <c r="S452" s="14">
        <v>12</v>
      </c>
      <c r="T452" s="14" t="s">
        <v>77</v>
      </c>
      <c r="U452" s="14" t="s">
        <v>78</v>
      </c>
      <c r="V452" s="14" t="s">
        <v>78</v>
      </c>
    </row>
    <row r="453" spans="1:22" x14ac:dyDescent="0.35">
      <c r="A453" s="17" t="s">
        <v>583</v>
      </c>
      <c r="B453" s="17" t="s">
        <v>548</v>
      </c>
      <c r="C453" s="17" t="s">
        <v>579</v>
      </c>
      <c r="D453" s="17" t="s">
        <v>88</v>
      </c>
      <c r="E453" s="17" t="s">
        <v>93</v>
      </c>
      <c r="F453" s="18">
        <v>1.07</v>
      </c>
      <c r="G453" s="18">
        <v>1.1499999999999999</v>
      </c>
      <c r="H453" s="18">
        <v>1.23</v>
      </c>
      <c r="I453" s="19">
        <v>372830</v>
      </c>
      <c r="J453" s="19">
        <v>458581</v>
      </c>
      <c r="K453" s="19">
        <v>144446</v>
      </c>
      <c r="L453" s="19">
        <v>314135</v>
      </c>
      <c r="M453" s="19">
        <v>28889</v>
      </c>
      <c r="N453" s="19">
        <v>54889</v>
      </c>
      <c r="O453" s="19">
        <v>17334</v>
      </c>
      <c r="P453" s="19">
        <v>43334</v>
      </c>
      <c r="Q453" s="17" t="s">
        <v>75</v>
      </c>
      <c r="R453" s="17" t="s">
        <v>81</v>
      </c>
      <c r="S453" s="17">
        <v>9</v>
      </c>
      <c r="T453" s="17" t="s">
        <v>82</v>
      </c>
      <c r="U453" s="17" t="s">
        <v>78</v>
      </c>
      <c r="V453" s="17" t="s">
        <v>83</v>
      </c>
    </row>
    <row r="454" spans="1:22" x14ac:dyDescent="0.35">
      <c r="A454" s="14" t="s">
        <v>584</v>
      </c>
      <c r="B454" s="14" t="s">
        <v>548</v>
      </c>
      <c r="C454" s="14" t="s">
        <v>579</v>
      </c>
      <c r="D454" s="14" t="s">
        <v>88</v>
      </c>
      <c r="E454" s="14" t="s">
        <v>74</v>
      </c>
      <c r="F454" s="15">
        <v>1.99</v>
      </c>
      <c r="G454" s="15">
        <v>7.3</v>
      </c>
      <c r="H454" s="15">
        <v>14.53</v>
      </c>
      <c r="I454" s="16">
        <v>196198</v>
      </c>
      <c r="J454" s="16">
        <v>2850757</v>
      </c>
      <c r="K454" s="16">
        <v>1042950</v>
      </c>
      <c r="L454" s="16">
        <v>1807807</v>
      </c>
      <c r="M454" s="16">
        <v>208590</v>
      </c>
      <c r="N454" s="16">
        <v>396321</v>
      </c>
      <c r="O454" s="16">
        <v>125154</v>
      </c>
      <c r="P454" s="16">
        <v>312885</v>
      </c>
      <c r="Q454" s="14" t="s">
        <v>75</v>
      </c>
      <c r="R454" s="14" t="s">
        <v>81</v>
      </c>
      <c r="S454" s="14">
        <v>7</v>
      </c>
      <c r="T454" s="14" t="s">
        <v>82</v>
      </c>
      <c r="U454" s="14" t="s">
        <v>83</v>
      </c>
      <c r="V454" s="14" t="s">
        <v>83</v>
      </c>
    </row>
    <row r="455" spans="1:22" x14ac:dyDescent="0.35">
      <c r="A455" s="17" t="s">
        <v>585</v>
      </c>
      <c r="B455" s="17" t="s">
        <v>548</v>
      </c>
      <c r="C455" s="17" t="s">
        <v>579</v>
      </c>
      <c r="D455" s="17" t="s">
        <v>88</v>
      </c>
      <c r="E455" s="17" t="s">
        <v>93</v>
      </c>
      <c r="F455" s="18">
        <v>1.74</v>
      </c>
      <c r="G455" s="18">
        <v>1.1299999999999999</v>
      </c>
      <c r="H455" s="18">
        <v>1.97</v>
      </c>
      <c r="I455" s="19">
        <v>343794</v>
      </c>
      <c r="J455" s="19">
        <v>677274</v>
      </c>
      <c r="K455" s="19">
        <v>217096</v>
      </c>
      <c r="L455" s="19">
        <v>460178</v>
      </c>
      <c r="M455" s="19">
        <v>43419</v>
      </c>
      <c r="N455" s="19">
        <v>82496</v>
      </c>
      <c r="O455" s="19">
        <v>26052</v>
      </c>
      <c r="P455" s="19">
        <v>65129</v>
      </c>
      <c r="Q455" s="17" t="s">
        <v>75</v>
      </c>
      <c r="R455" s="17" t="s">
        <v>81</v>
      </c>
      <c r="S455" s="17">
        <v>12</v>
      </c>
      <c r="T455" s="17" t="s">
        <v>82</v>
      </c>
      <c r="U455" s="17" t="s">
        <v>78</v>
      </c>
      <c r="V455" s="17" t="s">
        <v>83</v>
      </c>
    </row>
    <row r="456" spans="1:22" x14ac:dyDescent="0.35">
      <c r="A456" s="14" t="s">
        <v>586</v>
      </c>
      <c r="B456" s="14" t="s">
        <v>548</v>
      </c>
      <c r="C456" s="14" t="s">
        <v>579</v>
      </c>
      <c r="D456" s="14" t="s">
        <v>88</v>
      </c>
      <c r="E456" s="14" t="s">
        <v>111</v>
      </c>
      <c r="F456" s="15">
        <v>1.1599999999999999</v>
      </c>
      <c r="G456" s="15">
        <v>0.54</v>
      </c>
      <c r="H456" s="15">
        <v>0.63</v>
      </c>
      <c r="I456" s="16">
        <v>423796</v>
      </c>
      <c r="J456" s="16">
        <v>266991</v>
      </c>
      <c r="K456" s="16">
        <v>94754</v>
      </c>
      <c r="L456" s="16">
        <v>172237</v>
      </c>
      <c r="M456" s="16">
        <v>18951</v>
      </c>
      <c r="N456" s="16">
        <v>36007</v>
      </c>
      <c r="O456" s="16">
        <v>11370</v>
      </c>
      <c r="P456" s="16">
        <v>28426</v>
      </c>
      <c r="Q456" s="14" t="s">
        <v>86</v>
      </c>
      <c r="R456" s="14" t="s">
        <v>76</v>
      </c>
      <c r="S456" s="14">
        <v>7</v>
      </c>
      <c r="T456" s="14" t="s">
        <v>82</v>
      </c>
      <c r="U456" s="14" t="s">
        <v>78</v>
      </c>
      <c r="V456" s="14" t="s">
        <v>78</v>
      </c>
    </row>
    <row r="457" spans="1:22" x14ac:dyDescent="0.35">
      <c r="A457" s="17" t="s">
        <v>587</v>
      </c>
      <c r="B457" s="17" t="s">
        <v>548</v>
      </c>
      <c r="C457" s="17" t="s">
        <v>579</v>
      </c>
      <c r="D457" s="17" t="s">
        <v>73</v>
      </c>
      <c r="E457" s="17" t="s">
        <v>105</v>
      </c>
      <c r="F457" s="18">
        <v>0.93</v>
      </c>
      <c r="G457" s="18">
        <v>1.03</v>
      </c>
      <c r="H457" s="18">
        <v>0.96</v>
      </c>
      <c r="I457" s="19">
        <v>419191</v>
      </c>
      <c r="J457" s="19">
        <v>402423</v>
      </c>
      <c r="K457" s="19">
        <v>131942</v>
      </c>
      <c r="L457" s="19">
        <v>270481</v>
      </c>
      <c r="M457" s="19">
        <v>26388</v>
      </c>
      <c r="N457" s="19">
        <v>50138</v>
      </c>
      <c r="O457" s="19">
        <v>15833</v>
      </c>
      <c r="P457" s="19">
        <v>39583</v>
      </c>
      <c r="Q457" s="17" t="s">
        <v>90</v>
      </c>
      <c r="R457" s="17" t="s">
        <v>81</v>
      </c>
      <c r="S457" s="17">
        <v>8</v>
      </c>
      <c r="T457" s="17" t="s">
        <v>82</v>
      </c>
      <c r="U457" s="17" t="s">
        <v>78</v>
      </c>
      <c r="V457" s="17" t="s">
        <v>83</v>
      </c>
    </row>
    <row r="458" spans="1:22" x14ac:dyDescent="0.35">
      <c r="A458" s="14" t="s">
        <v>588</v>
      </c>
      <c r="B458" s="14" t="s">
        <v>548</v>
      </c>
      <c r="C458" s="14" t="s">
        <v>579</v>
      </c>
      <c r="D458" s="14" t="s">
        <v>88</v>
      </c>
      <c r="E458" s="14" t="s">
        <v>80</v>
      </c>
      <c r="F458" s="15">
        <v>0.86</v>
      </c>
      <c r="G458" s="15">
        <v>14.67</v>
      </c>
      <c r="H458" s="15">
        <v>12.62</v>
      </c>
      <c r="I458" s="16">
        <v>84914</v>
      </c>
      <c r="J458" s="16">
        <v>1071615</v>
      </c>
      <c r="K458" s="16">
        <v>340035</v>
      </c>
      <c r="L458" s="16">
        <v>731580</v>
      </c>
      <c r="M458" s="16">
        <v>68007</v>
      </c>
      <c r="N458" s="16">
        <v>129213</v>
      </c>
      <c r="O458" s="16">
        <v>40804</v>
      </c>
      <c r="P458" s="16">
        <v>102010</v>
      </c>
      <c r="Q458" s="14" t="s">
        <v>90</v>
      </c>
      <c r="R458" s="14" t="s">
        <v>76</v>
      </c>
      <c r="S458" s="14">
        <v>11</v>
      </c>
      <c r="T458" s="14" t="s">
        <v>82</v>
      </c>
      <c r="U458" s="14" t="s">
        <v>78</v>
      </c>
      <c r="V458" s="14" t="s">
        <v>78</v>
      </c>
    </row>
    <row r="459" spans="1:22" x14ac:dyDescent="0.35">
      <c r="A459" s="17" t="s">
        <v>589</v>
      </c>
      <c r="B459" s="17" t="s">
        <v>548</v>
      </c>
      <c r="C459" s="17" t="s">
        <v>590</v>
      </c>
      <c r="D459" s="17" t="s">
        <v>88</v>
      </c>
      <c r="E459" s="17" t="s">
        <v>85</v>
      </c>
      <c r="F459" s="18">
        <v>4.2300000000000004</v>
      </c>
      <c r="G459" s="18">
        <v>0.92</v>
      </c>
      <c r="H459" s="18">
        <v>3.89</v>
      </c>
      <c r="I459" s="19">
        <v>140458</v>
      </c>
      <c r="J459" s="19">
        <v>546382</v>
      </c>
      <c r="K459" s="19">
        <v>172031</v>
      </c>
      <c r="L459" s="19">
        <v>374351</v>
      </c>
      <c r="M459" s="19">
        <v>34406</v>
      </c>
      <c r="N459" s="19">
        <v>65372</v>
      </c>
      <c r="O459" s="19">
        <v>20644</v>
      </c>
      <c r="P459" s="19">
        <v>51609</v>
      </c>
      <c r="Q459" s="17" t="s">
        <v>90</v>
      </c>
      <c r="R459" s="17" t="s">
        <v>76</v>
      </c>
      <c r="S459" s="17">
        <v>3</v>
      </c>
      <c r="T459" s="17" t="s">
        <v>77</v>
      </c>
      <c r="U459" s="17" t="s">
        <v>78</v>
      </c>
      <c r="V459" s="17" t="s">
        <v>83</v>
      </c>
    </row>
    <row r="460" spans="1:22" x14ac:dyDescent="0.35">
      <c r="A460" s="14" t="s">
        <v>591</v>
      </c>
      <c r="B460" s="14" t="s">
        <v>548</v>
      </c>
      <c r="C460" s="14" t="s">
        <v>590</v>
      </c>
      <c r="D460" s="14" t="s">
        <v>73</v>
      </c>
      <c r="E460" s="14" t="s">
        <v>74</v>
      </c>
      <c r="F460" s="15">
        <v>1.58</v>
      </c>
      <c r="G460" s="15">
        <v>9.43</v>
      </c>
      <c r="H460" s="15">
        <v>14.9</v>
      </c>
      <c r="I460" s="16">
        <v>169854</v>
      </c>
      <c r="J460" s="16">
        <v>2530825</v>
      </c>
      <c r="K460" s="16">
        <v>823097</v>
      </c>
      <c r="L460" s="16">
        <v>1707728</v>
      </c>
      <c r="M460" s="16">
        <v>164619</v>
      </c>
      <c r="N460" s="16">
        <v>312777</v>
      </c>
      <c r="O460" s="16">
        <v>98772</v>
      </c>
      <c r="P460" s="16">
        <v>246929</v>
      </c>
      <c r="Q460" s="14" t="s">
        <v>75</v>
      </c>
      <c r="R460" s="14" t="s">
        <v>76</v>
      </c>
      <c r="S460" s="14">
        <v>11</v>
      </c>
      <c r="T460" s="14" t="s">
        <v>82</v>
      </c>
      <c r="U460" s="14" t="s">
        <v>83</v>
      </c>
      <c r="V460" s="14" t="s">
        <v>78</v>
      </c>
    </row>
    <row r="461" spans="1:22" x14ac:dyDescent="0.35">
      <c r="A461" s="17" t="s">
        <v>592</v>
      </c>
      <c r="B461" s="17" t="s">
        <v>548</v>
      </c>
      <c r="C461" s="17" t="s">
        <v>590</v>
      </c>
      <c r="D461" s="17" t="s">
        <v>88</v>
      </c>
      <c r="E461" s="17" t="s">
        <v>85</v>
      </c>
      <c r="F461" s="18">
        <v>3.37</v>
      </c>
      <c r="G461" s="18">
        <v>0.97</v>
      </c>
      <c r="H461" s="18">
        <v>3.27</v>
      </c>
      <c r="I461" s="19">
        <v>145113</v>
      </c>
      <c r="J461" s="19">
        <v>474520</v>
      </c>
      <c r="K461" s="19">
        <v>190241</v>
      </c>
      <c r="L461" s="19">
        <v>284279</v>
      </c>
      <c r="M461" s="19">
        <v>38048</v>
      </c>
      <c r="N461" s="19">
        <v>72292</v>
      </c>
      <c r="O461" s="19">
        <v>22829</v>
      </c>
      <c r="P461" s="19">
        <v>57072</v>
      </c>
      <c r="Q461" s="17" t="s">
        <v>86</v>
      </c>
      <c r="R461" s="17" t="s">
        <v>76</v>
      </c>
      <c r="S461" s="17">
        <v>6</v>
      </c>
      <c r="T461" s="17" t="s">
        <v>77</v>
      </c>
      <c r="U461" s="17" t="s">
        <v>83</v>
      </c>
      <c r="V461" s="17" t="s">
        <v>83</v>
      </c>
    </row>
    <row r="462" spans="1:22" x14ac:dyDescent="0.35">
      <c r="A462" s="14" t="s">
        <v>593</v>
      </c>
      <c r="B462" s="14" t="s">
        <v>548</v>
      </c>
      <c r="C462" s="14" t="s">
        <v>590</v>
      </c>
      <c r="D462" s="14" t="s">
        <v>73</v>
      </c>
      <c r="E462" s="14" t="s">
        <v>101</v>
      </c>
      <c r="F462" s="15">
        <v>1.42</v>
      </c>
      <c r="G462" s="15">
        <v>1.04</v>
      </c>
      <c r="H462" s="15">
        <v>1.48</v>
      </c>
      <c r="I462" s="16">
        <v>110737</v>
      </c>
      <c r="J462" s="16">
        <v>163891</v>
      </c>
      <c r="K462" s="16">
        <v>63996</v>
      </c>
      <c r="L462" s="16">
        <v>99895</v>
      </c>
      <c r="M462" s="16">
        <v>12799</v>
      </c>
      <c r="N462" s="16">
        <v>24318</v>
      </c>
      <c r="O462" s="16">
        <v>7680</v>
      </c>
      <c r="P462" s="16">
        <v>19199</v>
      </c>
      <c r="Q462" s="14" t="s">
        <v>86</v>
      </c>
      <c r="R462" s="14" t="s">
        <v>76</v>
      </c>
      <c r="S462" s="14">
        <v>12</v>
      </c>
      <c r="T462" s="14" t="s">
        <v>82</v>
      </c>
      <c r="U462" s="14" t="s">
        <v>83</v>
      </c>
      <c r="V462" s="14" t="s">
        <v>83</v>
      </c>
    </row>
    <row r="463" spans="1:22" x14ac:dyDescent="0.35">
      <c r="A463" s="17" t="s">
        <v>594</v>
      </c>
      <c r="B463" s="17" t="s">
        <v>548</v>
      </c>
      <c r="C463" s="17" t="s">
        <v>590</v>
      </c>
      <c r="D463" s="17" t="s">
        <v>73</v>
      </c>
      <c r="E463" s="17" t="s">
        <v>111</v>
      </c>
      <c r="F463" s="18">
        <v>1.8</v>
      </c>
      <c r="G463" s="18">
        <v>0.68</v>
      </c>
      <c r="H463" s="18">
        <v>1.22</v>
      </c>
      <c r="I463" s="19">
        <v>439682</v>
      </c>
      <c r="J463" s="19">
        <v>536412</v>
      </c>
      <c r="K463" s="19">
        <v>157059</v>
      </c>
      <c r="L463" s="19">
        <v>379353</v>
      </c>
      <c r="M463" s="19">
        <v>31412</v>
      </c>
      <c r="N463" s="19">
        <v>59682</v>
      </c>
      <c r="O463" s="19">
        <v>18847</v>
      </c>
      <c r="P463" s="19">
        <v>47118</v>
      </c>
      <c r="Q463" s="17" t="s">
        <v>75</v>
      </c>
      <c r="R463" s="17" t="s">
        <v>81</v>
      </c>
      <c r="S463" s="17">
        <v>3</v>
      </c>
      <c r="T463" s="17" t="s">
        <v>82</v>
      </c>
      <c r="U463" s="17" t="s">
        <v>78</v>
      </c>
      <c r="V463" s="17" t="s">
        <v>83</v>
      </c>
    </row>
    <row r="464" spans="1:22" x14ac:dyDescent="0.35">
      <c r="A464" s="14" t="s">
        <v>595</v>
      </c>
      <c r="B464" s="14" t="s">
        <v>548</v>
      </c>
      <c r="C464" s="14" t="s">
        <v>590</v>
      </c>
      <c r="D464" s="14" t="s">
        <v>73</v>
      </c>
      <c r="E464" s="14" t="s">
        <v>116</v>
      </c>
      <c r="F464" s="15">
        <v>0.94</v>
      </c>
      <c r="G464" s="15">
        <v>1.51</v>
      </c>
      <c r="H464" s="15">
        <v>1.42</v>
      </c>
      <c r="I464" s="16">
        <v>165953</v>
      </c>
      <c r="J464" s="16">
        <v>235653</v>
      </c>
      <c r="K464" s="16">
        <v>91999</v>
      </c>
      <c r="L464" s="16">
        <v>143654</v>
      </c>
      <c r="M464" s="16">
        <v>18400</v>
      </c>
      <c r="N464" s="16">
        <v>34960</v>
      </c>
      <c r="O464" s="16">
        <v>11040</v>
      </c>
      <c r="P464" s="16">
        <v>27600</v>
      </c>
      <c r="Q464" s="14" t="s">
        <v>90</v>
      </c>
      <c r="R464" s="14" t="s">
        <v>81</v>
      </c>
      <c r="S464" s="14">
        <v>6</v>
      </c>
      <c r="T464" s="14" t="s">
        <v>82</v>
      </c>
      <c r="U464" s="14" t="s">
        <v>78</v>
      </c>
      <c r="V464" s="14" t="s">
        <v>83</v>
      </c>
    </row>
    <row r="465" spans="1:22" x14ac:dyDescent="0.35">
      <c r="A465" s="17" t="s">
        <v>596</v>
      </c>
      <c r="B465" s="17" t="s">
        <v>548</v>
      </c>
      <c r="C465" s="17" t="s">
        <v>590</v>
      </c>
      <c r="D465" s="17" t="s">
        <v>88</v>
      </c>
      <c r="E465" s="17" t="s">
        <v>96</v>
      </c>
      <c r="F465" s="18">
        <v>1.89</v>
      </c>
      <c r="G465" s="18">
        <v>0.51</v>
      </c>
      <c r="H465" s="18">
        <v>0.96</v>
      </c>
      <c r="I465" s="19">
        <v>336120</v>
      </c>
      <c r="J465" s="19">
        <v>322675</v>
      </c>
      <c r="K465" s="19">
        <v>122270</v>
      </c>
      <c r="L465" s="19">
        <v>200405</v>
      </c>
      <c r="M465" s="19">
        <v>24454</v>
      </c>
      <c r="N465" s="19">
        <v>46463</v>
      </c>
      <c r="O465" s="19">
        <v>14672</v>
      </c>
      <c r="P465" s="19">
        <v>36681</v>
      </c>
      <c r="Q465" s="17" t="s">
        <v>75</v>
      </c>
      <c r="R465" s="17" t="s">
        <v>81</v>
      </c>
      <c r="S465" s="17">
        <v>11</v>
      </c>
      <c r="T465" s="17" t="s">
        <v>82</v>
      </c>
      <c r="U465" s="17" t="s">
        <v>83</v>
      </c>
      <c r="V465" s="17" t="s">
        <v>83</v>
      </c>
    </row>
    <row r="466" spans="1:22" x14ac:dyDescent="0.35">
      <c r="A466" s="14" t="s">
        <v>597</v>
      </c>
      <c r="B466" s="14" t="s">
        <v>548</v>
      </c>
      <c r="C466" s="14" t="s">
        <v>590</v>
      </c>
      <c r="D466" s="14" t="s">
        <v>73</v>
      </c>
      <c r="E466" s="14" t="s">
        <v>98</v>
      </c>
      <c r="F466" s="15">
        <v>2.13</v>
      </c>
      <c r="G466" s="15">
        <v>1.97</v>
      </c>
      <c r="H466" s="15">
        <v>4.2</v>
      </c>
      <c r="I466" s="16">
        <v>326871</v>
      </c>
      <c r="J466" s="16">
        <v>1372858</v>
      </c>
      <c r="K466" s="16">
        <v>551165</v>
      </c>
      <c r="L466" s="16">
        <v>821693</v>
      </c>
      <c r="M466" s="16">
        <v>110233</v>
      </c>
      <c r="N466" s="16">
        <v>209443</v>
      </c>
      <c r="O466" s="16">
        <v>66140</v>
      </c>
      <c r="P466" s="16">
        <v>165350</v>
      </c>
      <c r="Q466" s="14" t="s">
        <v>75</v>
      </c>
      <c r="R466" s="14" t="s">
        <v>76</v>
      </c>
      <c r="S466" s="14">
        <v>4</v>
      </c>
      <c r="T466" s="14" t="s">
        <v>77</v>
      </c>
      <c r="U466" s="14" t="s">
        <v>83</v>
      </c>
      <c r="V466" s="14" t="s">
        <v>78</v>
      </c>
    </row>
    <row r="467" spans="1:22" x14ac:dyDescent="0.35">
      <c r="A467" s="17" t="s">
        <v>598</v>
      </c>
      <c r="B467" s="17" t="s">
        <v>548</v>
      </c>
      <c r="C467" s="17" t="s">
        <v>590</v>
      </c>
      <c r="D467" s="17" t="s">
        <v>88</v>
      </c>
      <c r="E467" s="17" t="s">
        <v>105</v>
      </c>
      <c r="F467" s="18">
        <v>2.5099999999999998</v>
      </c>
      <c r="G467" s="18">
        <v>1.1299999999999999</v>
      </c>
      <c r="H467" s="18">
        <v>2.84</v>
      </c>
      <c r="I467" s="19">
        <v>414214</v>
      </c>
      <c r="J467" s="19">
        <v>1176368</v>
      </c>
      <c r="K467" s="19">
        <v>457170</v>
      </c>
      <c r="L467" s="19">
        <v>719198</v>
      </c>
      <c r="M467" s="19">
        <v>91434</v>
      </c>
      <c r="N467" s="19">
        <v>173725</v>
      </c>
      <c r="O467" s="19">
        <v>54860</v>
      </c>
      <c r="P467" s="19">
        <v>137151</v>
      </c>
      <c r="Q467" s="17" t="s">
        <v>75</v>
      </c>
      <c r="R467" s="17" t="s">
        <v>81</v>
      </c>
      <c r="S467" s="17">
        <v>5</v>
      </c>
      <c r="T467" s="17" t="s">
        <v>77</v>
      </c>
      <c r="U467" s="17" t="s">
        <v>78</v>
      </c>
      <c r="V467" s="17" t="s">
        <v>83</v>
      </c>
    </row>
    <row r="468" spans="1:22" x14ac:dyDescent="0.35">
      <c r="A468" s="14" t="s">
        <v>599</v>
      </c>
      <c r="B468" s="14" t="s">
        <v>548</v>
      </c>
      <c r="C468" s="14" t="s">
        <v>590</v>
      </c>
      <c r="D468" s="14" t="s">
        <v>73</v>
      </c>
      <c r="E468" s="14" t="s">
        <v>101</v>
      </c>
      <c r="F468" s="15">
        <v>2.2599999999999998</v>
      </c>
      <c r="G468" s="15">
        <v>0.89</v>
      </c>
      <c r="H468" s="15">
        <v>2.0099999999999998</v>
      </c>
      <c r="I468" s="16">
        <v>142519</v>
      </c>
      <c r="J468" s="16">
        <v>286463</v>
      </c>
      <c r="K468" s="16">
        <v>113057</v>
      </c>
      <c r="L468" s="16">
        <v>173406</v>
      </c>
      <c r="M468" s="16">
        <v>22611</v>
      </c>
      <c r="N468" s="16">
        <v>42962</v>
      </c>
      <c r="O468" s="16">
        <v>13567</v>
      </c>
      <c r="P468" s="16">
        <v>33917</v>
      </c>
      <c r="Q468" s="14" t="s">
        <v>86</v>
      </c>
      <c r="R468" s="14" t="s">
        <v>81</v>
      </c>
      <c r="S468" s="14">
        <v>11</v>
      </c>
      <c r="T468" s="14" t="s">
        <v>77</v>
      </c>
      <c r="U468" s="14" t="s">
        <v>78</v>
      </c>
      <c r="V468" s="14" t="s">
        <v>83</v>
      </c>
    </row>
    <row r="469" spans="1:22" x14ac:dyDescent="0.35">
      <c r="A469" s="17" t="s">
        <v>600</v>
      </c>
      <c r="B469" s="17" t="s">
        <v>548</v>
      </c>
      <c r="C469" s="17" t="s">
        <v>590</v>
      </c>
      <c r="D469" s="17" t="s">
        <v>88</v>
      </c>
      <c r="E469" s="17" t="s">
        <v>85</v>
      </c>
      <c r="F469" s="18">
        <v>2.34</v>
      </c>
      <c r="G469" s="18">
        <v>1.06</v>
      </c>
      <c r="H469" s="18">
        <v>2.48</v>
      </c>
      <c r="I469" s="19">
        <v>114254</v>
      </c>
      <c r="J469" s="19">
        <v>283350</v>
      </c>
      <c r="K469" s="19">
        <v>105476</v>
      </c>
      <c r="L469" s="19">
        <v>177874</v>
      </c>
      <c r="M469" s="19">
        <v>21095</v>
      </c>
      <c r="N469" s="19">
        <v>40081</v>
      </c>
      <c r="O469" s="19">
        <v>12657</v>
      </c>
      <c r="P469" s="19">
        <v>31643</v>
      </c>
      <c r="Q469" s="17" t="s">
        <v>86</v>
      </c>
      <c r="R469" s="17" t="s">
        <v>76</v>
      </c>
      <c r="S469" s="17">
        <v>5</v>
      </c>
      <c r="T469" s="17" t="s">
        <v>77</v>
      </c>
      <c r="U469" s="17" t="s">
        <v>78</v>
      </c>
      <c r="V469" s="17" t="s">
        <v>78</v>
      </c>
    </row>
    <row r="470" spans="1:22" x14ac:dyDescent="0.35">
      <c r="A470" s="14" t="s">
        <v>601</v>
      </c>
      <c r="B470" s="14" t="s">
        <v>548</v>
      </c>
      <c r="C470" s="14" t="s">
        <v>602</v>
      </c>
      <c r="D470" s="14" t="s">
        <v>73</v>
      </c>
      <c r="E470" s="14" t="s">
        <v>105</v>
      </c>
      <c r="F470" s="15">
        <v>0.56999999999999995</v>
      </c>
      <c r="G470" s="15">
        <v>1.36</v>
      </c>
      <c r="H470" s="15">
        <v>0.78</v>
      </c>
      <c r="I470" s="16">
        <v>462374</v>
      </c>
      <c r="J470" s="16">
        <v>360652</v>
      </c>
      <c r="K470" s="16">
        <v>134202</v>
      </c>
      <c r="L470" s="16">
        <v>226450</v>
      </c>
      <c r="M470" s="16">
        <v>26840</v>
      </c>
      <c r="N470" s="16">
        <v>50997</v>
      </c>
      <c r="O470" s="16">
        <v>16104</v>
      </c>
      <c r="P470" s="16">
        <v>40261</v>
      </c>
      <c r="Q470" s="14" t="s">
        <v>75</v>
      </c>
      <c r="R470" s="14" t="s">
        <v>81</v>
      </c>
      <c r="S470" s="14">
        <v>3</v>
      </c>
      <c r="T470" s="14" t="s">
        <v>82</v>
      </c>
      <c r="U470" s="14" t="s">
        <v>78</v>
      </c>
      <c r="V470" s="14" t="s">
        <v>78</v>
      </c>
    </row>
    <row r="471" spans="1:22" x14ac:dyDescent="0.35">
      <c r="A471" s="17" t="s">
        <v>603</v>
      </c>
      <c r="B471" s="17" t="s">
        <v>548</v>
      </c>
      <c r="C471" s="17" t="s">
        <v>602</v>
      </c>
      <c r="D471" s="17" t="s">
        <v>73</v>
      </c>
      <c r="E471" s="17" t="s">
        <v>111</v>
      </c>
      <c r="F471" s="18">
        <v>0.55000000000000004</v>
      </c>
      <c r="G471" s="18">
        <v>1.1299999999999999</v>
      </c>
      <c r="H471" s="18">
        <v>0.62</v>
      </c>
      <c r="I471" s="19">
        <v>512895</v>
      </c>
      <c r="J471" s="19">
        <v>317995</v>
      </c>
      <c r="K471" s="19">
        <v>130370</v>
      </c>
      <c r="L471" s="19">
        <v>187625</v>
      </c>
      <c r="M471" s="19">
        <v>26074</v>
      </c>
      <c r="N471" s="19">
        <v>49541</v>
      </c>
      <c r="O471" s="19">
        <v>15644</v>
      </c>
      <c r="P471" s="19">
        <v>39111</v>
      </c>
      <c r="Q471" s="17" t="s">
        <v>86</v>
      </c>
      <c r="R471" s="17" t="s">
        <v>81</v>
      </c>
      <c r="S471" s="17">
        <v>3</v>
      </c>
      <c r="T471" s="17" t="s">
        <v>82</v>
      </c>
      <c r="U471" s="17" t="s">
        <v>78</v>
      </c>
      <c r="V471" s="17" t="s">
        <v>83</v>
      </c>
    </row>
    <row r="472" spans="1:22" x14ac:dyDescent="0.35">
      <c r="A472" s="14" t="s">
        <v>604</v>
      </c>
      <c r="B472" s="14" t="s">
        <v>548</v>
      </c>
      <c r="C472" s="14" t="s">
        <v>602</v>
      </c>
      <c r="D472" s="14" t="s">
        <v>88</v>
      </c>
      <c r="E472" s="14" t="s">
        <v>96</v>
      </c>
      <c r="F472" s="15">
        <v>2.0499999999999998</v>
      </c>
      <c r="G472" s="15">
        <v>0.44</v>
      </c>
      <c r="H472" s="15">
        <v>0.9</v>
      </c>
      <c r="I472" s="16">
        <v>403681</v>
      </c>
      <c r="J472" s="16">
        <v>363313</v>
      </c>
      <c r="K472" s="16">
        <v>128636</v>
      </c>
      <c r="L472" s="16">
        <v>234677</v>
      </c>
      <c r="M472" s="16">
        <v>25727</v>
      </c>
      <c r="N472" s="16">
        <v>48882</v>
      </c>
      <c r="O472" s="16">
        <v>15436</v>
      </c>
      <c r="P472" s="16">
        <v>38591</v>
      </c>
      <c r="Q472" s="14" t="s">
        <v>75</v>
      </c>
      <c r="R472" s="14" t="s">
        <v>76</v>
      </c>
      <c r="S472" s="14">
        <v>7</v>
      </c>
      <c r="T472" s="14" t="s">
        <v>77</v>
      </c>
      <c r="U472" s="14" t="s">
        <v>78</v>
      </c>
      <c r="V472" s="14" t="s">
        <v>78</v>
      </c>
    </row>
    <row r="473" spans="1:22" x14ac:dyDescent="0.35">
      <c r="A473" s="17" t="s">
        <v>605</v>
      </c>
      <c r="B473" s="17" t="s">
        <v>548</v>
      </c>
      <c r="C473" s="17" t="s">
        <v>602</v>
      </c>
      <c r="D473" s="17" t="s">
        <v>73</v>
      </c>
      <c r="E473" s="17" t="s">
        <v>93</v>
      </c>
      <c r="F473" s="18">
        <v>0.8</v>
      </c>
      <c r="G473" s="18">
        <v>0.92</v>
      </c>
      <c r="H473" s="18">
        <v>0.74</v>
      </c>
      <c r="I473" s="19">
        <v>366928</v>
      </c>
      <c r="J473" s="19">
        <v>271527</v>
      </c>
      <c r="K473" s="19">
        <v>83369</v>
      </c>
      <c r="L473" s="19">
        <v>188158</v>
      </c>
      <c r="M473" s="19">
        <v>16674</v>
      </c>
      <c r="N473" s="19">
        <v>31680</v>
      </c>
      <c r="O473" s="19">
        <v>10004</v>
      </c>
      <c r="P473" s="19">
        <v>25011</v>
      </c>
      <c r="Q473" s="17" t="s">
        <v>75</v>
      </c>
      <c r="R473" s="17" t="s">
        <v>76</v>
      </c>
      <c r="S473" s="17">
        <v>12</v>
      </c>
      <c r="T473" s="17" t="s">
        <v>82</v>
      </c>
      <c r="U473" s="17" t="s">
        <v>83</v>
      </c>
      <c r="V473" s="17" t="s">
        <v>78</v>
      </c>
    </row>
    <row r="474" spans="1:22" x14ac:dyDescent="0.35">
      <c r="A474" s="14" t="s">
        <v>606</v>
      </c>
      <c r="B474" s="14" t="s">
        <v>548</v>
      </c>
      <c r="C474" s="14" t="s">
        <v>602</v>
      </c>
      <c r="D474" s="14" t="s">
        <v>88</v>
      </c>
      <c r="E474" s="14" t="s">
        <v>93</v>
      </c>
      <c r="F474" s="15">
        <v>2.74</v>
      </c>
      <c r="G474" s="15">
        <v>1.08</v>
      </c>
      <c r="H474" s="15">
        <v>2.96</v>
      </c>
      <c r="I474" s="16">
        <v>388728</v>
      </c>
      <c r="J474" s="16">
        <v>1150635</v>
      </c>
      <c r="K474" s="16">
        <v>430831</v>
      </c>
      <c r="L474" s="16">
        <v>719804</v>
      </c>
      <c r="M474" s="16">
        <v>86166</v>
      </c>
      <c r="N474" s="16">
        <v>163716</v>
      </c>
      <c r="O474" s="16">
        <v>51700</v>
      </c>
      <c r="P474" s="16">
        <v>129249</v>
      </c>
      <c r="Q474" s="14" t="s">
        <v>75</v>
      </c>
      <c r="R474" s="14" t="s">
        <v>81</v>
      </c>
      <c r="S474" s="14">
        <v>4</v>
      </c>
      <c r="T474" s="14" t="s">
        <v>77</v>
      </c>
      <c r="U474" s="14" t="s">
        <v>78</v>
      </c>
      <c r="V474" s="14" t="s">
        <v>78</v>
      </c>
    </row>
    <row r="475" spans="1:22" x14ac:dyDescent="0.35">
      <c r="A475" s="17" t="s">
        <v>607</v>
      </c>
      <c r="B475" s="17" t="s">
        <v>548</v>
      </c>
      <c r="C475" s="17" t="s">
        <v>602</v>
      </c>
      <c r="D475" s="17" t="s">
        <v>88</v>
      </c>
      <c r="E475" s="17" t="s">
        <v>93</v>
      </c>
      <c r="F475" s="18">
        <v>2.0099999999999998</v>
      </c>
      <c r="G475" s="18">
        <v>1.02</v>
      </c>
      <c r="H475" s="18">
        <v>2.0499999999999998</v>
      </c>
      <c r="I475" s="19">
        <v>383865</v>
      </c>
      <c r="J475" s="19">
        <v>786923</v>
      </c>
      <c r="K475" s="19">
        <v>286431</v>
      </c>
      <c r="L475" s="19">
        <v>500492</v>
      </c>
      <c r="M475" s="19">
        <v>57286</v>
      </c>
      <c r="N475" s="19">
        <v>108844</v>
      </c>
      <c r="O475" s="19">
        <v>34372</v>
      </c>
      <c r="P475" s="19">
        <v>85929</v>
      </c>
      <c r="Q475" s="17" t="s">
        <v>90</v>
      </c>
      <c r="R475" s="17" t="s">
        <v>81</v>
      </c>
      <c r="S475" s="17">
        <v>11</v>
      </c>
      <c r="T475" s="17" t="s">
        <v>77</v>
      </c>
      <c r="U475" s="17" t="s">
        <v>78</v>
      </c>
      <c r="V475" s="17" t="s">
        <v>83</v>
      </c>
    </row>
    <row r="476" spans="1:22" x14ac:dyDescent="0.35">
      <c r="A476" s="14" t="s">
        <v>608</v>
      </c>
      <c r="B476" s="14" t="s">
        <v>548</v>
      </c>
      <c r="C476" s="14" t="s">
        <v>602</v>
      </c>
      <c r="D476" s="14" t="s">
        <v>88</v>
      </c>
      <c r="E476" s="14" t="s">
        <v>96</v>
      </c>
      <c r="F476" s="15">
        <v>2.12</v>
      </c>
      <c r="G476" s="15">
        <v>0.53</v>
      </c>
      <c r="H476" s="15">
        <v>1.1200000000000001</v>
      </c>
      <c r="I476" s="16">
        <v>359665</v>
      </c>
      <c r="J476" s="16">
        <v>402825</v>
      </c>
      <c r="K476" s="16">
        <v>143562</v>
      </c>
      <c r="L476" s="16">
        <v>259263</v>
      </c>
      <c r="M476" s="16">
        <v>28712</v>
      </c>
      <c r="N476" s="16">
        <v>54554</v>
      </c>
      <c r="O476" s="16">
        <v>17227</v>
      </c>
      <c r="P476" s="16">
        <v>43069</v>
      </c>
      <c r="Q476" s="14" t="s">
        <v>90</v>
      </c>
      <c r="R476" s="14" t="s">
        <v>81</v>
      </c>
      <c r="S476" s="14">
        <v>8</v>
      </c>
      <c r="T476" s="14" t="s">
        <v>77</v>
      </c>
      <c r="U476" s="14" t="s">
        <v>78</v>
      </c>
      <c r="V476" s="14" t="s">
        <v>83</v>
      </c>
    </row>
    <row r="477" spans="1:22" x14ac:dyDescent="0.35">
      <c r="A477" s="17" t="s">
        <v>609</v>
      </c>
      <c r="B477" s="17" t="s">
        <v>548</v>
      </c>
      <c r="C477" s="17" t="s">
        <v>602</v>
      </c>
      <c r="D477" s="17" t="s">
        <v>73</v>
      </c>
      <c r="E477" s="17" t="s">
        <v>96</v>
      </c>
      <c r="F477" s="18">
        <v>1.9</v>
      </c>
      <c r="G477" s="18">
        <v>0.9</v>
      </c>
      <c r="H477" s="18">
        <v>1.71</v>
      </c>
      <c r="I477" s="19">
        <v>401204</v>
      </c>
      <c r="J477" s="19">
        <v>686059</v>
      </c>
      <c r="K477" s="19">
        <v>241812</v>
      </c>
      <c r="L477" s="19">
        <v>444247</v>
      </c>
      <c r="M477" s="19">
        <v>48362</v>
      </c>
      <c r="N477" s="19">
        <v>91889</v>
      </c>
      <c r="O477" s="19">
        <v>29017</v>
      </c>
      <c r="P477" s="19">
        <v>72544</v>
      </c>
      <c r="Q477" s="17" t="s">
        <v>90</v>
      </c>
      <c r="R477" s="17" t="s">
        <v>76</v>
      </c>
      <c r="S477" s="17">
        <v>7</v>
      </c>
      <c r="T477" s="17" t="s">
        <v>82</v>
      </c>
      <c r="U477" s="17" t="s">
        <v>78</v>
      </c>
      <c r="V477" s="17" t="s">
        <v>78</v>
      </c>
    </row>
    <row r="478" spans="1:22" x14ac:dyDescent="0.35">
      <c r="A478" s="14" t="s">
        <v>610</v>
      </c>
      <c r="B478" s="14" t="s">
        <v>548</v>
      </c>
      <c r="C478" s="14" t="s">
        <v>602</v>
      </c>
      <c r="D478" s="14" t="s">
        <v>73</v>
      </c>
      <c r="E478" s="14" t="s">
        <v>101</v>
      </c>
      <c r="F478" s="15">
        <v>4.74</v>
      </c>
      <c r="G478" s="15">
        <v>1.52</v>
      </c>
      <c r="H478" s="15">
        <v>7.2</v>
      </c>
      <c r="I478" s="16">
        <v>137088</v>
      </c>
      <c r="J478" s="16">
        <v>987034</v>
      </c>
      <c r="K478" s="16">
        <v>403377</v>
      </c>
      <c r="L478" s="16">
        <v>583657</v>
      </c>
      <c r="M478" s="16">
        <v>80675</v>
      </c>
      <c r="N478" s="16">
        <v>153283</v>
      </c>
      <c r="O478" s="16">
        <v>48405</v>
      </c>
      <c r="P478" s="16">
        <v>121013</v>
      </c>
      <c r="Q478" s="14" t="s">
        <v>75</v>
      </c>
      <c r="R478" s="14" t="s">
        <v>76</v>
      </c>
      <c r="S478" s="14">
        <v>4</v>
      </c>
      <c r="T478" s="14" t="s">
        <v>77</v>
      </c>
      <c r="U478" s="14" t="s">
        <v>78</v>
      </c>
      <c r="V478" s="14" t="s">
        <v>83</v>
      </c>
    </row>
    <row r="479" spans="1:22" x14ac:dyDescent="0.35">
      <c r="A479" s="17" t="s">
        <v>611</v>
      </c>
      <c r="B479" s="17" t="s">
        <v>548</v>
      </c>
      <c r="C479" s="17" t="s">
        <v>612</v>
      </c>
      <c r="D479" s="17" t="s">
        <v>73</v>
      </c>
      <c r="E479" s="17" t="s">
        <v>116</v>
      </c>
      <c r="F479" s="18">
        <v>1.43</v>
      </c>
      <c r="G479" s="18">
        <v>2.2200000000000002</v>
      </c>
      <c r="H479" s="18">
        <v>3.17</v>
      </c>
      <c r="I479" s="19">
        <v>134119</v>
      </c>
      <c r="J479" s="19">
        <v>425157</v>
      </c>
      <c r="K479" s="19">
        <v>134296</v>
      </c>
      <c r="L479" s="19">
        <v>290861</v>
      </c>
      <c r="M479" s="19">
        <v>26859</v>
      </c>
      <c r="N479" s="19">
        <v>51032</v>
      </c>
      <c r="O479" s="19">
        <v>16116</v>
      </c>
      <c r="P479" s="19">
        <v>40289</v>
      </c>
      <c r="Q479" s="17" t="s">
        <v>90</v>
      </c>
      <c r="R479" s="17" t="s">
        <v>76</v>
      </c>
      <c r="S479" s="17">
        <v>12</v>
      </c>
      <c r="T479" s="17" t="s">
        <v>82</v>
      </c>
      <c r="U479" s="17" t="s">
        <v>78</v>
      </c>
      <c r="V479" s="17" t="s">
        <v>83</v>
      </c>
    </row>
    <row r="480" spans="1:22" x14ac:dyDescent="0.35">
      <c r="A480" s="14" t="s">
        <v>613</v>
      </c>
      <c r="B480" s="14" t="s">
        <v>548</v>
      </c>
      <c r="C480" s="14" t="s">
        <v>612</v>
      </c>
      <c r="D480" s="14" t="s">
        <v>73</v>
      </c>
      <c r="E480" s="14" t="s">
        <v>98</v>
      </c>
      <c r="F480" s="15">
        <v>2.67</v>
      </c>
      <c r="G480" s="15">
        <v>2.59</v>
      </c>
      <c r="H480" s="15">
        <v>6.92</v>
      </c>
      <c r="I480" s="16">
        <v>297617</v>
      </c>
      <c r="J480" s="16">
        <v>2059510</v>
      </c>
      <c r="K480" s="16">
        <v>814740</v>
      </c>
      <c r="L480" s="16">
        <v>1244770</v>
      </c>
      <c r="M480" s="16">
        <v>162948</v>
      </c>
      <c r="N480" s="16">
        <v>309601</v>
      </c>
      <c r="O480" s="16">
        <v>97769</v>
      </c>
      <c r="P480" s="16">
        <v>244422</v>
      </c>
      <c r="Q480" s="14" t="s">
        <v>75</v>
      </c>
      <c r="R480" s="14" t="s">
        <v>76</v>
      </c>
      <c r="S480" s="14">
        <v>12</v>
      </c>
      <c r="T480" s="14" t="s">
        <v>77</v>
      </c>
      <c r="U480" s="14" t="s">
        <v>83</v>
      </c>
      <c r="V480" s="14" t="s">
        <v>83</v>
      </c>
    </row>
    <row r="481" spans="1:22" x14ac:dyDescent="0.35">
      <c r="A481" s="17" t="s">
        <v>614</v>
      </c>
      <c r="B481" s="17" t="s">
        <v>548</v>
      </c>
      <c r="C481" s="17" t="s">
        <v>612</v>
      </c>
      <c r="D481" s="17" t="s">
        <v>88</v>
      </c>
      <c r="E481" s="17" t="s">
        <v>80</v>
      </c>
      <c r="F481" s="18">
        <v>0.85</v>
      </c>
      <c r="G481" s="18">
        <v>9.35</v>
      </c>
      <c r="H481" s="18">
        <v>7.95</v>
      </c>
      <c r="I481" s="19">
        <v>102721</v>
      </c>
      <c r="J481" s="19">
        <v>816632</v>
      </c>
      <c r="K481" s="19">
        <v>268435</v>
      </c>
      <c r="L481" s="19">
        <v>548197</v>
      </c>
      <c r="M481" s="19">
        <v>53687</v>
      </c>
      <c r="N481" s="19">
        <v>102005</v>
      </c>
      <c r="O481" s="19">
        <v>32212</v>
      </c>
      <c r="P481" s="19">
        <v>80530</v>
      </c>
      <c r="Q481" s="17" t="s">
        <v>90</v>
      </c>
      <c r="R481" s="17" t="s">
        <v>81</v>
      </c>
      <c r="S481" s="17">
        <v>4</v>
      </c>
      <c r="T481" s="17" t="s">
        <v>82</v>
      </c>
      <c r="U481" s="17" t="s">
        <v>78</v>
      </c>
      <c r="V481" s="17" t="s">
        <v>83</v>
      </c>
    </row>
    <row r="482" spans="1:22" x14ac:dyDescent="0.35">
      <c r="A482" s="14" t="s">
        <v>615</v>
      </c>
      <c r="B482" s="14" t="s">
        <v>548</v>
      </c>
      <c r="C482" s="14" t="s">
        <v>612</v>
      </c>
      <c r="D482" s="14" t="s">
        <v>73</v>
      </c>
      <c r="E482" s="14" t="s">
        <v>111</v>
      </c>
      <c r="F482" s="15">
        <v>2.72</v>
      </c>
      <c r="G482" s="15">
        <v>0.97</v>
      </c>
      <c r="H482" s="15">
        <v>2.64</v>
      </c>
      <c r="I482" s="16">
        <v>424457</v>
      </c>
      <c r="J482" s="16">
        <v>1120566</v>
      </c>
      <c r="K482" s="16">
        <v>396023</v>
      </c>
      <c r="L482" s="16">
        <v>724543</v>
      </c>
      <c r="M482" s="16">
        <v>79205</v>
      </c>
      <c r="N482" s="16">
        <v>150489</v>
      </c>
      <c r="O482" s="16">
        <v>47523</v>
      </c>
      <c r="P482" s="16">
        <v>118807</v>
      </c>
      <c r="Q482" s="14" t="s">
        <v>90</v>
      </c>
      <c r="R482" s="14" t="s">
        <v>76</v>
      </c>
      <c r="S482" s="14">
        <v>8</v>
      </c>
      <c r="T482" s="14" t="s">
        <v>77</v>
      </c>
      <c r="U482" s="14" t="s">
        <v>83</v>
      </c>
      <c r="V482" s="14" t="s">
        <v>83</v>
      </c>
    </row>
    <row r="483" spans="1:22" x14ac:dyDescent="0.35">
      <c r="A483" s="17" t="s">
        <v>616</v>
      </c>
      <c r="B483" s="17" t="s">
        <v>548</v>
      </c>
      <c r="C483" s="17" t="s">
        <v>612</v>
      </c>
      <c r="D483" s="17" t="s">
        <v>73</v>
      </c>
      <c r="E483" s="17" t="s">
        <v>98</v>
      </c>
      <c r="F483" s="18">
        <v>0.65</v>
      </c>
      <c r="G483" s="18">
        <v>2.5099999999999998</v>
      </c>
      <c r="H483" s="18">
        <v>1.63</v>
      </c>
      <c r="I483" s="19">
        <v>319395</v>
      </c>
      <c r="J483" s="19">
        <v>520614</v>
      </c>
      <c r="K483" s="19">
        <v>178251</v>
      </c>
      <c r="L483" s="19">
        <v>342363</v>
      </c>
      <c r="M483" s="19">
        <v>35650</v>
      </c>
      <c r="N483" s="19">
        <v>67735</v>
      </c>
      <c r="O483" s="19">
        <v>21390</v>
      </c>
      <c r="P483" s="19">
        <v>53475</v>
      </c>
      <c r="Q483" s="17" t="s">
        <v>75</v>
      </c>
      <c r="R483" s="17" t="s">
        <v>76</v>
      </c>
      <c r="S483" s="17">
        <v>6</v>
      </c>
      <c r="T483" s="17" t="s">
        <v>82</v>
      </c>
      <c r="U483" s="17" t="s">
        <v>78</v>
      </c>
      <c r="V483" s="17" t="s">
        <v>83</v>
      </c>
    </row>
    <row r="484" spans="1:22" x14ac:dyDescent="0.35">
      <c r="A484" s="14" t="s">
        <v>617</v>
      </c>
      <c r="B484" s="14" t="s">
        <v>548</v>
      </c>
      <c r="C484" s="14" t="s">
        <v>612</v>
      </c>
      <c r="D484" s="14" t="s">
        <v>73</v>
      </c>
      <c r="E484" s="14" t="s">
        <v>96</v>
      </c>
      <c r="F484" s="15">
        <v>0.59</v>
      </c>
      <c r="G484" s="15">
        <v>0.52</v>
      </c>
      <c r="H484" s="15">
        <v>0.31</v>
      </c>
      <c r="I484" s="16">
        <v>398359</v>
      </c>
      <c r="J484" s="16">
        <v>123491</v>
      </c>
      <c r="K484" s="16">
        <v>35430</v>
      </c>
      <c r="L484" s="16">
        <v>88061</v>
      </c>
      <c r="M484" s="16">
        <v>7086</v>
      </c>
      <c r="N484" s="16">
        <v>13463</v>
      </c>
      <c r="O484" s="16">
        <v>4252</v>
      </c>
      <c r="P484" s="16">
        <v>10629</v>
      </c>
      <c r="Q484" s="14" t="s">
        <v>90</v>
      </c>
      <c r="R484" s="14" t="s">
        <v>81</v>
      </c>
      <c r="S484" s="14">
        <v>4</v>
      </c>
      <c r="T484" s="14" t="s">
        <v>82</v>
      </c>
      <c r="U484" s="14" t="s">
        <v>78</v>
      </c>
      <c r="V484" s="14" t="s">
        <v>83</v>
      </c>
    </row>
    <row r="485" spans="1:22" x14ac:dyDescent="0.35">
      <c r="A485" s="17" t="s">
        <v>618</v>
      </c>
      <c r="B485" s="17" t="s">
        <v>548</v>
      </c>
      <c r="C485" s="17" t="s">
        <v>612</v>
      </c>
      <c r="D485" s="17" t="s">
        <v>73</v>
      </c>
      <c r="E485" s="17" t="s">
        <v>96</v>
      </c>
      <c r="F485" s="18">
        <v>1.98</v>
      </c>
      <c r="G485" s="18">
        <v>0.69</v>
      </c>
      <c r="H485" s="18">
        <v>1.37</v>
      </c>
      <c r="I485" s="19">
        <v>354679</v>
      </c>
      <c r="J485" s="19">
        <v>485910</v>
      </c>
      <c r="K485" s="19">
        <v>162947</v>
      </c>
      <c r="L485" s="19">
        <v>322963</v>
      </c>
      <c r="M485" s="19">
        <v>32589</v>
      </c>
      <c r="N485" s="19">
        <v>61920</v>
      </c>
      <c r="O485" s="19">
        <v>19554</v>
      </c>
      <c r="P485" s="19">
        <v>48884</v>
      </c>
      <c r="Q485" s="17" t="s">
        <v>75</v>
      </c>
      <c r="R485" s="17" t="s">
        <v>76</v>
      </c>
      <c r="S485" s="17">
        <v>11</v>
      </c>
      <c r="T485" s="17" t="s">
        <v>82</v>
      </c>
      <c r="U485" s="17" t="s">
        <v>83</v>
      </c>
      <c r="V485" s="17" t="s">
        <v>83</v>
      </c>
    </row>
    <row r="486" spans="1:22" x14ac:dyDescent="0.35">
      <c r="A486" s="14" t="s">
        <v>619</v>
      </c>
      <c r="B486" s="14" t="s">
        <v>548</v>
      </c>
      <c r="C486" s="14" t="s">
        <v>612</v>
      </c>
      <c r="D486" s="14" t="s">
        <v>73</v>
      </c>
      <c r="E486" s="14" t="s">
        <v>93</v>
      </c>
      <c r="F486" s="15">
        <v>1.23</v>
      </c>
      <c r="G486" s="15">
        <v>0.95</v>
      </c>
      <c r="H486" s="15">
        <v>1.17</v>
      </c>
      <c r="I486" s="16">
        <v>372027</v>
      </c>
      <c r="J486" s="16">
        <v>435272</v>
      </c>
      <c r="K486" s="16">
        <v>163603</v>
      </c>
      <c r="L486" s="16">
        <v>271669</v>
      </c>
      <c r="M486" s="16">
        <v>32721</v>
      </c>
      <c r="N486" s="16">
        <v>62169</v>
      </c>
      <c r="O486" s="16">
        <v>19632</v>
      </c>
      <c r="P486" s="16">
        <v>49081</v>
      </c>
      <c r="Q486" s="14" t="s">
        <v>75</v>
      </c>
      <c r="R486" s="14" t="s">
        <v>76</v>
      </c>
      <c r="S486" s="14">
        <v>4</v>
      </c>
      <c r="T486" s="14" t="s">
        <v>82</v>
      </c>
      <c r="U486" s="14" t="s">
        <v>83</v>
      </c>
      <c r="V486" s="14" t="s">
        <v>83</v>
      </c>
    </row>
    <row r="487" spans="1:22" x14ac:dyDescent="0.35">
      <c r="A487" s="17" t="s">
        <v>620</v>
      </c>
      <c r="B487" s="17" t="s">
        <v>548</v>
      </c>
      <c r="C487" s="17" t="s">
        <v>612</v>
      </c>
      <c r="D487" s="17" t="s">
        <v>88</v>
      </c>
      <c r="E487" s="17" t="s">
        <v>96</v>
      </c>
      <c r="F487" s="18">
        <v>1.07</v>
      </c>
      <c r="G487" s="18">
        <v>0.53</v>
      </c>
      <c r="H487" s="18">
        <v>0.56999999999999995</v>
      </c>
      <c r="I487" s="19">
        <v>400984</v>
      </c>
      <c r="J487" s="19">
        <v>228561</v>
      </c>
      <c r="K487" s="19">
        <v>64772</v>
      </c>
      <c r="L487" s="19">
        <v>163789</v>
      </c>
      <c r="M487" s="19">
        <v>12954</v>
      </c>
      <c r="N487" s="19">
        <v>24613</v>
      </c>
      <c r="O487" s="19">
        <v>7773</v>
      </c>
      <c r="P487" s="19">
        <v>19432</v>
      </c>
      <c r="Q487" s="17" t="s">
        <v>90</v>
      </c>
      <c r="R487" s="17" t="s">
        <v>76</v>
      </c>
      <c r="S487" s="17">
        <v>8</v>
      </c>
      <c r="T487" s="17" t="s">
        <v>82</v>
      </c>
      <c r="U487" s="17" t="s">
        <v>83</v>
      </c>
      <c r="V487" s="17" t="s">
        <v>83</v>
      </c>
    </row>
    <row r="488" spans="1:22" x14ac:dyDescent="0.35">
      <c r="A488" s="14" t="s">
        <v>621</v>
      </c>
      <c r="B488" s="14" t="s">
        <v>548</v>
      </c>
      <c r="C488" s="14" t="s">
        <v>612</v>
      </c>
      <c r="D488" s="14" t="s">
        <v>73</v>
      </c>
      <c r="E488" s="14" t="s">
        <v>111</v>
      </c>
      <c r="F488" s="15">
        <v>2.04</v>
      </c>
      <c r="G488" s="15">
        <v>1.1299999999999999</v>
      </c>
      <c r="H488" s="15">
        <v>2.31</v>
      </c>
      <c r="I488" s="16">
        <v>450823</v>
      </c>
      <c r="J488" s="16">
        <v>1041401</v>
      </c>
      <c r="K488" s="16">
        <v>391515</v>
      </c>
      <c r="L488" s="16">
        <v>649886</v>
      </c>
      <c r="M488" s="16">
        <v>78303</v>
      </c>
      <c r="N488" s="16">
        <v>148776</v>
      </c>
      <c r="O488" s="16">
        <v>46982</v>
      </c>
      <c r="P488" s="16">
        <v>117454</v>
      </c>
      <c r="Q488" s="14" t="s">
        <v>86</v>
      </c>
      <c r="R488" s="14" t="s">
        <v>76</v>
      </c>
      <c r="S488" s="14">
        <v>4</v>
      </c>
      <c r="T488" s="14" t="s">
        <v>77</v>
      </c>
      <c r="U488" s="14" t="s">
        <v>83</v>
      </c>
      <c r="V488" s="14" t="s">
        <v>78</v>
      </c>
    </row>
    <row r="489" spans="1:22" x14ac:dyDescent="0.35">
      <c r="A489" s="17" t="s">
        <v>622</v>
      </c>
      <c r="B489" s="17" t="s">
        <v>548</v>
      </c>
      <c r="C489" s="17" t="s">
        <v>612</v>
      </c>
      <c r="D489" s="17" t="s">
        <v>73</v>
      </c>
      <c r="E489" s="17" t="s">
        <v>98</v>
      </c>
      <c r="F489" s="18">
        <v>3.11</v>
      </c>
      <c r="G489" s="18">
        <v>2.62</v>
      </c>
      <c r="H489" s="18">
        <v>8.15</v>
      </c>
      <c r="I489" s="19">
        <v>281860</v>
      </c>
      <c r="J489" s="19">
        <v>2297159</v>
      </c>
      <c r="K489" s="19">
        <v>866331</v>
      </c>
      <c r="L489" s="19">
        <v>1430828</v>
      </c>
      <c r="M489" s="19">
        <v>173266</v>
      </c>
      <c r="N489" s="19">
        <v>329206</v>
      </c>
      <c r="O489" s="19">
        <v>103960</v>
      </c>
      <c r="P489" s="19">
        <v>259899</v>
      </c>
      <c r="Q489" s="17" t="s">
        <v>86</v>
      </c>
      <c r="R489" s="17" t="s">
        <v>81</v>
      </c>
      <c r="S489" s="17">
        <v>10</v>
      </c>
      <c r="T489" s="17" t="s">
        <v>77</v>
      </c>
      <c r="U489" s="17" t="s">
        <v>78</v>
      </c>
      <c r="V489" s="17" t="s">
        <v>78</v>
      </c>
    </row>
    <row r="490" spans="1:22" x14ac:dyDescent="0.35">
      <c r="A490" s="14" t="s">
        <v>623</v>
      </c>
      <c r="B490" s="14" t="s">
        <v>548</v>
      </c>
      <c r="C490" s="14" t="s">
        <v>612</v>
      </c>
      <c r="D490" s="14" t="s">
        <v>73</v>
      </c>
      <c r="E490" s="14" t="s">
        <v>101</v>
      </c>
      <c r="F490" s="15">
        <v>4.57</v>
      </c>
      <c r="G490" s="15">
        <v>0.99</v>
      </c>
      <c r="H490" s="15">
        <v>4.5199999999999996</v>
      </c>
      <c r="I490" s="16">
        <v>126741</v>
      </c>
      <c r="J490" s="16">
        <v>572869</v>
      </c>
      <c r="K490" s="16">
        <v>220583</v>
      </c>
      <c r="L490" s="16">
        <v>352286</v>
      </c>
      <c r="M490" s="16">
        <v>44117</v>
      </c>
      <c r="N490" s="16">
        <v>83822</v>
      </c>
      <c r="O490" s="16">
        <v>26470</v>
      </c>
      <c r="P490" s="16">
        <v>66175</v>
      </c>
      <c r="Q490" s="14" t="s">
        <v>75</v>
      </c>
      <c r="R490" s="14" t="s">
        <v>81</v>
      </c>
      <c r="S490" s="14">
        <v>12</v>
      </c>
      <c r="T490" s="14" t="s">
        <v>77</v>
      </c>
      <c r="U490" s="14" t="s">
        <v>83</v>
      </c>
      <c r="V490" s="14" t="s">
        <v>78</v>
      </c>
    </row>
    <row r="491" spans="1:22" x14ac:dyDescent="0.35">
      <c r="A491" s="17" t="s">
        <v>624</v>
      </c>
      <c r="B491" s="17" t="s">
        <v>548</v>
      </c>
      <c r="C491" s="17" t="s">
        <v>612</v>
      </c>
      <c r="D491" s="17" t="s">
        <v>88</v>
      </c>
      <c r="E491" s="17" t="s">
        <v>80</v>
      </c>
      <c r="F491" s="18">
        <v>3.12</v>
      </c>
      <c r="G491" s="18">
        <v>14</v>
      </c>
      <c r="H491" s="18">
        <v>43.68</v>
      </c>
      <c r="I491" s="19">
        <v>81989</v>
      </c>
      <c r="J491" s="19">
        <v>3581280</v>
      </c>
      <c r="K491" s="19">
        <v>1088153</v>
      </c>
      <c r="L491" s="19">
        <v>2493127</v>
      </c>
      <c r="M491" s="19">
        <v>217631</v>
      </c>
      <c r="N491" s="19">
        <v>413498</v>
      </c>
      <c r="O491" s="19">
        <v>130578</v>
      </c>
      <c r="P491" s="19">
        <v>326446</v>
      </c>
      <c r="Q491" s="17" t="s">
        <v>90</v>
      </c>
      <c r="R491" s="17" t="s">
        <v>76</v>
      </c>
      <c r="S491" s="17">
        <v>12</v>
      </c>
      <c r="T491" s="17" t="s">
        <v>77</v>
      </c>
      <c r="U491" s="17" t="s">
        <v>78</v>
      </c>
      <c r="V491" s="17" t="s">
        <v>78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showGridLines="0" tabSelected="1" zoomScaleNormal="100" workbookViewId="0">
      <pane ySplit="2" topLeftCell="A18" activePane="bottomLeft" state="frozen"/>
      <selection pane="bottomLeft" sqref="A1:J1"/>
    </sheetView>
  </sheetViews>
  <sheetFormatPr defaultColWidth="8.6328125" defaultRowHeight="14.5" x14ac:dyDescent="0.35"/>
  <cols>
    <col min="1" max="1" width="16" customWidth="1"/>
    <col min="2" max="3" width="14" customWidth="1"/>
    <col min="4" max="5" width="11" customWidth="1"/>
    <col min="6" max="6" width="12" customWidth="1"/>
    <col min="7" max="7" width="16" customWidth="1"/>
    <col min="8" max="11" width="18" customWidth="1"/>
    <col min="12" max="12" width="13" customWidth="1"/>
  </cols>
  <sheetData>
    <row r="1" spans="1:12" ht="25.5" customHeight="1" x14ac:dyDescent="0.35">
      <c r="A1" s="1" t="s">
        <v>625</v>
      </c>
      <c r="B1" s="1"/>
      <c r="C1" s="1"/>
      <c r="D1" s="1"/>
      <c r="E1" s="1"/>
      <c r="F1" s="1"/>
      <c r="G1" s="1"/>
      <c r="H1" s="1"/>
      <c r="I1" s="1"/>
      <c r="J1" s="1"/>
    </row>
    <row r="2" spans="1:12" ht="30" customHeight="1" x14ac:dyDescent="0.35">
      <c r="A2" s="20" t="s">
        <v>49</v>
      </c>
      <c r="B2" s="20" t="s">
        <v>50</v>
      </c>
      <c r="C2" s="20" t="s">
        <v>626</v>
      </c>
      <c r="D2" s="20" t="s">
        <v>627</v>
      </c>
      <c r="E2" s="20" t="s">
        <v>628</v>
      </c>
      <c r="F2" s="20" t="s">
        <v>629</v>
      </c>
      <c r="G2" s="20" t="s">
        <v>630</v>
      </c>
      <c r="H2" s="20" t="s">
        <v>631</v>
      </c>
      <c r="I2" s="20" t="s">
        <v>632</v>
      </c>
      <c r="J2" s="20" t="s">
        <v>58</v>
      </c>
      <c r="K2" s="20" t="s">
        <v>633</v>
      </c>
      <c r="L2" s="20" t="s">
        <v>634</v>
      </c>
    </row>
    <row r="3" spans="1:12" x14ac:dyDescent="0.35">
      <c r="A3" s="17" t="s">
        <v>275</v>
      </c>
      <c r="B3" s="17" t="s">
        <v>276</v>
      </c>
      <c r="C3" s="17">
        <v>17</v>
      </c>
      <c r="D3" s="17">
        <v>8</v>
      </c>
      <c r="E3" s="18">
        <v>2.4500000000000002</v>
      </c>
      <c r="F3" s="18">
        <v>3.65</v>
      </c>
      <c r="G3" s="18">
        <v>126.3</v>
      </c>
      <c r="H3" s="19">
        <v>261947</v>
      </c>
      <c r="I3" s="19">
        <v>20120178</v>
      </c>
      <c r="J3" s="19">
        <v>7140971</v>
      </c>
      <c r="K3" s="19">
        <v>12979207</v>
      </c>
      <c r="L3" s="21">
        <f t="shared" ref="L3:L39" si="0">IF(I3=0,0,K3/I3)</f>
        <v>0.64508410412671302</v>
      </c>
    </row>
    <row r="4" spans="1:12" x14ac:dyDescent="0.35">
      <c r="A4" s="14" t="s">
        <v>275</v>
      </c>
      <c r="B4" s="14" t="s">
        <v>379</v>
      </c>
      <c r="C4" s="14">
        <v>8</v>
      </c>
      <c r="D4" s="14">
        <v>5</v>
      </c>
      <c r="E4" s="15">
        <v>2.23</v>
      </c>
      <c r="F4" s="15">
        <v>5.51</v>
      </c>
      <c r="G4" s="15">
        <v>78.5</v>
      </c>
      <c r="H4" s="16">
        <v>180081</v>
      </c>
      <c r="I4" s="16">
        <v>11509743</v>
      </c>
      <c r="J4" s="16">
        <v>3646468</v>
      </c>
      <c r="K4" s="16">
        <v>7863275</v>
      </c>
      <c r="L4" s="22">
        <f t="shared" si="0"/>
        <v>0.68318423791043814</v>
      </c>
    </row>
    <row r="5" spans="1:12" x14ac:dyDescent="0.35">
      <c r="A5" s="17" t="s">
        <v>275</v>
      </c>
      <c r="B5" s="17" t="s">
        <v>294</v>
      </c>
      <c r="C5" s="17">
        <v>16</v>
      </c>
      <c r="D5" s="17">
        <v>7</v>
      </c>
      <c r="E5" s="18">
        <v>2.41</v>
      </c>
      <c r="F5" s="18">
        <v>4.03</v>
      </c>
      <c r="G5" s="18">
        <v>148.6</v>
      </c>
      <c r="H5" s="19">
        <v>226169</v>
      </c>
      <c r="I5" s="19">
        <v>23117370</v>
      </c>
      <c r="J5" s="19">
        <v>7276870</v>
      </c>
      <c r="K5" s="19">
        <v>15840500</v>
      </c>
      <c r="L5" s="21">
        <f t="shared" si="0"/>
        <v>0.68522068038016437</v>
      </c>
    </row>
    <row r="6" spans="1:12" x14ac:dyDescent="0.35">
      <c r="A6" s="14" t="s">
        <v>275</v>
      </c>
      <c r="B6" s="14" t="s">
        <v>311</v>
      </c>
      <c r="C6" s="14">
        <v>15</v>
      </c>
      <c r="D6" s="14">
        <v>8</v>
      </c>
      <c r="E6" s="15">
        <v>1.85</v>
      </c>
      <c r="F6" s="15">
        <v>1.43</v>
      </c>
      <c r="G6" s="15">
        <v>37.4</v>
      </c>
      <c r="H6" s="16">
        <v>276989</v>
      </c>
      <c r="I6" s="16">
        <v>9209732</v>
      </c>
      <c r="J6" s="16">
        <v>3292910</v>
      </c>
      <c r="K6" s="16">
        <v>5916822</v>
      </c>
      <c r="L6" s="22">
        <f t="shared" si="0"/>
        <v>0.64245322230874902</v>
      </c>
    </row>
    <row r="7" spans="1:12" x14ac:dyDescent="0.35">
      <c r="A7" s="17" t="s">
        <v>275</v>
      </c>
      <c r="B7" s="17" t="s">
        <v>327</v>
      </c>
      <c r="C7" s="17">
        <v>18</v>
      </c>
      <c r="D7" s="17">
        <v>9</v>
      </c>
      <c r="E7" s="18">
        <v>1.79</v>
      </c>
      <c r="F7" s="18">
        <v>3.51</v>
      </c>
      <c r="G7" s="18">
        <v>138.9</v>
      </c>
      <c r="H7" s="19">
        <v>269118</v>
      </c>
      <c r="I7" s="19">
        <v>21736273</v>
      </c>
      <c r="J7" s="19">
        <v>7462357</v>
      </c>
      <c r="K7" s="19">
        <v>14273916</v>
      </c>
      <c r="L7" s="21">
        <f t="shared" si="0"/>
        <v>0.65668645218064758</v>
      </c>
    </row>
    <row r="8" spans="1:12" x14ac:dyDescent="0.35">
      <c r="A8" s="14" t="s">
        <v>275</v>
      </c>
      <c r="B8" s="14" t="s">
        <v>346</v>
      </c>
      <c r="C8" s="14">
        <v>14</v>
      </c>
      <c r="D8" s="14">
        <v>8</v>
      </c>
      <c r="E8" s="15">
        <v>1.96</v>
      </c>
      <c r="F8" s="15">
        <v>2.93</v>
      </c>
      <c r="G8" s="15">
        <v>54.9</v>
      </c>
      <c r="H8" s="16">
        <v>267055</v>
      </c>
      <c r="I8" s="16">
        <v>10572063</v>
      </c>
      <c r="J8" s="16">
        <v>3635809</v>
      </c>
      <c r="K8" s="16">
        <v>6936254</v>
      </c>
      <c r="L8" s="22">
        <f t="shared" si="0"/>
        <v>0.65609276070337452</v>
      </c>
    </row>
    <row r="9" spans="1:12" x14ac:dyDescent="0.35">
      <c r="A9" s="17" t="s">
        <v>275</v>
      </c>
      <c r="B9" s="17" t="s">
        <v>361</v>
      </c>
      <c r="C9" s="17">
        <v>17</v>
      </c>
      <c r="D9" s="17">
        <v>8</v>
      </c>
      <c r="E9" s="18">
        <v>2.2599999999999998</v>
      </c>
      <c r="F9" s="18">
        <v>1.83</v>
      </c>
      <c r="G9" s="18">
        <v>60.1</v>
      </c>
      <c r="H9" s="19">
        <v>291576</v>
      </c>
      <c r="I9" s="19">
        <v>14304270</v>
      </c>
      <c r="J9" s="19">
        <v>5042345</v>
      </c>
      <c r="K9" s="19">
        <v>9261925</v>
      </c>
      <c r="L9" s="21">
        <f t="shared" si="0"/>
        <v>0.64749372040656394</v>
      </c>
    </row>
    <row r="10" spans="1:12" x14ac:dyDescent="0.35">
      <c r="A10" s="14" t="s">
        <v>192</v>
      </c>
      <c r="B10" s="14" t="s">
        <v>202</v>
      </c>
      <c r="C10" s="14">
        <v>12</v>
      </c>
      <c r="D10" s="14">
        <v>7</v>
      </c>
      <c r="E10" s="15">
        <v>1.52</v>
      </c>
      <c r="F10" s="15">
        <v>2.92</v>
      </c>
      <c r="G10" s="15">
        <v>62.6</v>
      </c>
      <c r="H10" s="16">
        <v>325597</v>
      </c>
      <c r="I10" s="16">
        <v>10060247</v>
      </c>
      <c r="J10" s="16">
        <v>3432529</v>
      </c>
      <c r="K10" s="16">
        <v>6627718</v>
      </c>
      <c r="L10" s="22">
        <f t="shared" si="0"/>
        <v>0.65880271130519952</v>
      </c>
    </row>
    <row r="11" spans="1:12" x14ac:dyDescent="0.35">
      <c r="A11" s="17" t="s">
        <v>192</v>
      </c>
      <c r="B11" s="17" t="s">
        <v>231</v>
      </c>
      <c r="C11" s="17">
        <v>9</v>
      </c>
      <c r="D11" s="17">
        <v>7</v>
      </c>
      <c r="E11" s="18">
        <v>2.66</v>
      </c>
      <c r="F11" s="18">
        <v>3.2</v>
      </c>
      <c r="G11" s="18">
        <v>96</v>
      </c>
      <c r="H11" s="19">
        <v>265944</v>
      </c>
      <c r="I11" s="19">
        <v>13337330</v>
      </c>
      <c r="J11" s="19">
        <v>4650025</v>
      </c>
      <c r="K11" s="19">
        <v>8687305</v>
      </c>
      <c r="L11" s="21">
        <f t="shared" si="0"/>
        <v>0.65135263204854343</v>
      </c>
    </row>
    <row r="12" spans="1:12" x14ac:dyDescent="0.35">
      <c r="A12" s="14" t="s">
        <v>192</v>
      </c>
      <c r="B12" s="14" t="s">
        <v>193</v>
      </c>
      <c r="C12" s="14">
        <v>8</v>
      </c>
      <c r="D12" s="14">
        <v>6</v>
      </c>
      <c r="E12" s="15">
        <v>2.52</v>
      </c>
      <c r="F12" s="15">
        <v>4.29</v>
      </c>
      <c r="G12" s="15">
        <v>127.5</v>
      </c>
      <c r="H12" s="16">
        <v>196107</v>
      </c>
      <c r="I12" s="16">
        <v>14015079</v>
      </c>
      <c r="J12" s="16">
        <v>4513538</v>
      </c>
      <c r="K12" s="16">
        <v>9501541</v>
      </c>
      <c r="L12" s="22">
        <f t="shared" si="0"/>
        <v>0.67795129802693233</v>
      </c>
    </row>
    <row r="13" spans="1:12" x14ac:dyDescent="0.35">
      <c r="A13" s="17" t="s">
        <v>192</v>
      </c>
      <c r="B13" s="17" t="s">
        <v>241</v>
      </c>
      <c r="C13" s="17">
        <v>18</v>
      </c>
      <c r="D13" s="17">
        <v>9</v>
      </c>
      <c r="E13" s="18">
        <v>2.08</v>
      </c>
      <c r="F13" s="18">
        <v>3.07</v>
      </c>
      <c r="G13" s="18">
        <v>141.19999999999999</v>
      </c>
      <c r="H13" s="19">
        <v>279240</v>
      </c>
      <c r="I13" s="19">
        <v>19952744</v>
      </c>
      <c r="J13" s="19">
        <v>7074681</v>
      </c>
      <c r="K13" s="19">
        <v>12878063</v>
      </c>
      <c r="L13" s="21">
        <f t="shared" si="0"/>
        <v>0.64542816767458155</v>
      </c>
    </row>
    <row r="14" spans="1:12" x14ac:dyDescent="0.35">
      <c r="A14" s="14" t="s">
        <v>192</v>
      </c>
      <c r="B14" s="14" t="s">
        <v>260</v>
      </c>
      <c r="C14" s="14">
        <v>14</v>
      </c>
      <c r="D14" s="14">
        <v>7</v>
      </c>
      <c r="E14" s="15">
        <v>2.19</v>
      </c>
      <c r="F14" s="15">
        <v>4.82</v>
      </c>
      <c r="G14" s="15">
        <v>185.8</v>
      </c>
      <c r="H14" s="16">
        <v>258718</v>
      </c>
      <c r="I14" s="16">
        <v>23598160</v>
      </c>
      <c r="J14" s="16">
        <v>8712972</v>
      </c>
      <c r="K14" s="16">
        <v>14885188</v>
      </c>
      <c r="L14" s="22">
        <f t="shared" si="0"/>
        <v>0.63077748434623715</v>
      </c>
    </row>
    <row r="15" spans="1:12" x14ac:dyDescent="0.35">
      <c r="A15" s="17" t="s">
        <v>192</v>
      </c>
      <c r="B15" s="17" t="s">
        <v>215</v>
      </c>
      <c r="C15" s="17">
        <v>15</v>
      </c>
      <c r="D15" s="17">
        <v>7</v>
      </c>
      <c r="E15" s="18">
        <v>1.87</v>
      </c>
      <c r="F15" s="18">
        <v>1.83</v>
      </c>
      <c r="G15" s="18">
        <v>46.8</v>
      </c>
      <c r="H15" s="19">
        <v>245032</v>
      </c>
      <c r="I15" s="19">
        <v>8674803</v>
      </c>
      <c r="J15" s="19">
        <v>3088221</v>
      </c>
      <c r="K15" s="19">
        <v>5586582</v>
      </c>
      <c r="L15" s="21">
        <f t="shared" si="0"/>
        <v>0.64400102227105327</v>
      </c>
    </row>
    <row r="16" spans="1:12" x14ac:dyDescent="0.35">
      <c r="A16" s="14" t="s">
        <v>71</v>
      </c>
      <c r="B16" s="14" t="s">
        <v>178</v>
      </c>
      <c r="C16" s="14">
        <v>13</v>
      </c>
      <c r="D16" s="14">
        <v>7</v>
      </c>
      <c r="E16" s="15">
        <v>2.41</v>
      </c>
      <c r="F16" s="15">
        <v>1.18</v>
      </c>
      <c r="G16" s="15">
        <v>35.799999999999997</v>
      </c>
      <c r="H16" s="16">
        <v>295456</v>
      </c>
      <c r="I16" s="16">
        <v>8186488</v>
      </c>
      <c r="J16" s="16">
        <v>2875875</v>
      </c>
      <c r="K16" s="16">
        <v>5310613</v>
      </c>
      <c r="L16" s="22">
        <f t="shared" si="0"/>
        <v>0.64870467042766078</v>
      </c>
    </row>
    <row r="17" spans="1:12" x14ac:dyDescent="0.35">
      <c r="A17" s="17" t="s">
        <v>71</v>
      </c>
      <c r="B17" s="17" t="s">
        <v>110</v>
      </c>
      <c r="C17" s="17">
        <v>17</v>
      </c>
      <c r="D17" s="17">
        <v>9</v>
      </c>
      <c r="E17" s="18">
        <v>1.76</v>
      </c>
      <c r="F17" s="18">
        <v>3.15</v>
      </c>
      <c r="G17" s="18">
        <v>128.30000000000001</v>
      </c>
      <c r="H17" s="19">
        <v>300269</v>
      </c>
      <c r="I17" s="19">
        <v>23338604</v>
      </c>
      <c r="J17" s="19">
        <v>8135288</v>
      </c>
      <c r="K17" s="19">
        <v>15203316</v>
      </c>
      <c r="L17" s="21">
        <f t="shared" si="0"/>
        <v>0.65142353844300194</v>
      </c>
    </row>
    <row r="18" spans="1:12" x14ac:dyDescent="0.35">
      <c r="A18" s="14" t="s">
        <v>71</v>
      </c>
      <c r="B18" s="14" t="s">
        <v>72</v>
      </c>
      <c r="C18" s="14">
        <v>18</v>
      </c>
      <c r="D18" s="14">
        <v>8</v>
      </c>
      <c r="E18" s="15">
        <v>2.2599999999999998</v>
      </c>
      <c r="F18" s="15">
        <v>5.21</v>
      </c>
      <c r="G18" s="15">
        <v>226.5</v>
      </c>
      <c r="H18" s="16">
        <v>213595</v>
      </c>
      <c r="I18" s="16">
        <v>30613576</v>
      </c>
      <c r="J18" s="16">
        <v>10262487</v>
      </c>
      <c r="K18" s="16">
        <v>20351089</v>
      </c>
      <c r="L18" s="22">
        <f t="shared" si="0"/>
        <v>0.66477333454935161</v>
      </c>
    </row>
    <row r="19" spans="1:12" x14ac:dyDescent="0.35">
      <c r="A19" s="17" t="s">
        <v>71</v>
      </c>
      <c r="B19" s="17" t="s">
        <v>130</v>
      </c>
      <c r="C19" s="17">
        <v>9</v>
      </c>
      <c r="D19" s="17">
        <v>8</v>
      </c>
      <c r="E19" s="18">
        <v>1.8</v>
      </c>
      <c r="F19" s="18">
        <v>3.75</v>
      </c>
      <c r="G19" s="18">
        <v>47.7</v>
      </c>
      <c r="H19" s="19">
        <v>219693</v>
      </c>
      <c r="I19" s="19">
        <v>7605023</v>
      </c>
      <c r="J19" s="19">
        <v>2402266</v>
      </c>
      <c r="K19" s="19">
        <v>5202757</v>
      </c>
      <c r="L19" s="21">
        <f t="shared" si="0"/>
        <v>0.68412113941009778</v>
      </c>
    </row>
    <row r="20" spans="1:12" x14ac:dyDescent="0.35">
      <c r="A20" s="14" t="s">
        <v>71</v>
      </c>
      <c r="B20" s="14" t="s">
        <v>161</v>
      </c>
      <c r="C20" s="14">
        <v>15</v>
      </c>
      <c r="D20" s="14">
        <v>9</v>
      </c>
      <c r="E20" s="15">
        <v>2.75</v>
      </c>
      <c r="F20" s="15">
        <v>4.66</v>
      </c>
      <c r="G20" s="15">
        <v>179.5</v>
      </c>
      <c r="H20" s="16">
        <v>256742</v>
      </c>
      <c r="I20" s="16">
        <v>23256612</v>
      </c>
      <c r="J20" s="16">
        <v>8391968</v>
      </c>
      <c r="K20" s="16">
        <v>14864644</v>
      </c>
      <c r="L20" s="22">
        <f t="shared" si="0"/>
        <v>0.63915775866235369</v>
      </c>
    </row>
    <row r="21" spans="1:12" x14ac:dyDescent="0.35">
      <c r="A21" s="17" t="s">
        <v>71</v>
      </c>
      <c r="B21" s="17" t="s">
        <v>140</v>
      </c>
      <c r="C21" s="17">
        <v>11</v>
      </c>
      <c r="D21" s="17">
        <v>6</v>
      </c>
      <c r="E21" s="18">
        <v>3.01</v>
      </c>
      <c r="F21" s="18">
        <v>3.56</v>
      </c>
      <c r="G21" s="18">
        <v>136.9</v>
      </c>
      <c r="H21" s="19">
        <v>222976</v>
      </c>
      <c r="I21" s="19">
        <v>16772301</v>
      </c>
      <c r="J21" s="19">
        <v>6334491</v>
      </c>
      <c r="K21" s="19">
        <v>10437810</v>
      </c>
      <c r="L21" s="21">
        <f t="shared" si="0"/>
        <v>0.62232427142823155</v>
      </c>
    </row>
    <row r="22" spans="1:12" x14ac:dyDescent="0.35">
      <c r="A22" s="14" t="s">
        <v>71</v>
      </c>
      <c r="B22" s="14" t="s">
        <v>152</v>
      </c>
      <c r="C22" s="14">
        <v>8</v>
      </c>
      <c r="D22" s="14">
        <v>6</v>
      </c>
      <c r="E22" s="15">
        <v>1.79</v>
      </c>
      <c r="F22" s="15">
        <v>2.08</v>
      </c>
      <c r="G22" s="15">
        <v>19.100000000000001</v>
      </c>
      <c r="H22" s="16">
        <v>301336</v>
      </c>
      <c r="I22" s="16">
        <v>4547330</v>
      </c>
      <c r="J22" s="16">
        <v>1651161</v>
      </c>
      <c r="K22" s="16">
        <v>2896169</v>
      </c>
      <c r="L22" s="22">
        <f t="shared" si="0"/>
        <v>0.63689439737164444</v>
      </c>
    </row>
    <row r="23" spans="1:12" x14ac:dyDescent="0.35">
      <c r="A23" s="17" t="s">
        <v>467</v>
      </c>
      <c r="B23" s="17" t="s">
        <v>517</v>
      </c>
      <c r="C23" s="17">
        <v>15</v>
      </c>
      <c r="D23" s="17">
        <v>9</v>
      </c>
      <c r="E23" s="18">
        <v>1.92</v>
      </c>
      <c r="F23" s="18">
        <v>2.68</v>
      </c>
      <c r="G23" s="18">
        <v>50.9</v>
      </c>
      <c r="H23" s="19">
        <v>308225</v>
      </c>
      <c r="I23" s="19">
        <v>11861048</v>
      </c>
      <c r="J23" s="19">
        <v>4360956</v>
      </c>
      <c r="K23" s="19">
        <v>7500092</v>
      </c>
      <c r="L23" s="21">
        <f t="shared" si="0"/>
        <v>0.63232962213794264</v>
      </c>
    </row>
    <row r="24" spans="1:12" x14ac:dyDescent="0.35">
      <c r="A24" s="14" t="s">
        <v>467</v>
      </c>
      <c r="B24" s="14" t="s">
        <v>468</v>
      </c>
      <c r="C24" s="14">
        <v>17</v>
      </c>
      <c r="D24" s="14">
        <v>10</v>
      </c>
      <c r="E24" s="15">
        <v>2.0099999999999998</v>
      </c>
      <c r="F24" s="15">
        <v>3.65</v>
      </c>
      <c r="G24" s="15">
        <v>93.1</v>
      </c>
      <c r="H24" s="16">
        <v>263045</v>
      </c>
      <c r="I24" s="16">
        <v>17416570</v>
      </c>
      <c r="J24" s="16">
        <v>6269411</v>
      </c>
      <c r="K24" s="16">
        <v>11147159</v>
      </c>
      <c r="L24" s="22">
        <f t="shared" si="0"/>
        <v>0.64003182027230388</v>
      </c>
    </row>
    <row r="25" spans="1:12" x14ac:dyDescent="0.35">
      <c r="A25" s="17" t="s">
        <v>467</v>
      </c>
      <c r="B25" s="17" t="s">
        <v>533</v>
      </c>
      <c r="C25" s="17">
        <v>14</v>
      </c>
      <c r="D25" s="17">
        <v>8</v>
      </c>
      <c r="E25" s="18">
        <v>2.34</v>
      </c>
      <c r="F25" s="18">
        <v>2.4300000000000002</v>
      </c>
      <c r="G25" s="18">
        <v>87.5</v>
      </c>
      <c r="H25" s="19">
        <v>321253</v>
      </c>
      <c r="I25" s="19">
        <v>15174018</v>
      </c>
      <c r="J25" s="19">
        <v>5738039</v>
      </c>
      <c r="K25" s="19">
        <v>9435979</v>
      </c>
      <c r="L25" s="21">
        <f t="shared" si="0"/>
        <v>0.62185104828529925</v>
      </c>
    </row>
    <row r="26" spans="1:12" x14ac:dyDescent="0.35">
      <c r="A26" s="14" t="s">
        <v>467</v>
      </c>
      <c r="B26" s="14" t="s">
        <v>486</v>
      </c>
      <c r="C26" s="14">
        <v>17</v>
      </c>
      <c r="D26" s="14">
        <v>8</v>
      </c>
      <c r="E26" s="15">
        <v>2.9</v>
      </c>
      <c r="F26" s="15">
        <v>4.3499999999999996</v>
      </c>
      <c r="G26" s="15">
        <v>198</v>
      </c>
      <c r="H26" s="16">
        <v>246598</v>
      </c>
      <c r="I26" s="16">
        <v>25910764</v>
      </c>
      <c r="J26" s="16">
        <v>9115435</v>
      </c>
      <c r="K26" s="16">
        <v>16795329</v>
      </c>
      <c r="L26" s="22">
        <f t="shared" si="0"/>
        <v>0.6481989106920969</v>
      </c>
    </row>
    <row r="27" spans="1:12" x14ac:dyDescent="0.35">
      <c r="A27" s="17" t="s">
        <v>467</v>
      </c>
      <c r="B27" s="17" t="s">
        <v>504</v>
      </c>
      <c r="C27" s="17">
        <v>12</v>
      </c>
      <c r="D27" s="17">
        <v>6</v>
      </c>
      <c r="E27" s="18">
        <v>1.59</v>
      </c>
      <c r="F27" s="18">
        <v>1.33</v>
      </c>
      <c r="G27" s="18">
        <v>27.8</v>
      </c>
      <c r="H27" s="19">
        <v>324200</v>
      </c>
      <c r="I27" s="19">
        <v>8779830</v>
      </c>
      <c r="J27" s="19">
        <v>3234998</v>
      </c>
      <c r="K27" s="19">
        <v>5544832</v>
      </c>
      <c r="L27" s="21">
        <f t="shared" si="0"/>
        <v>0.63154206858219353</v>
      </c>
    </row>
    <row r="28" spans="1:12" x14ac:dyDescent="0.35">
      <c r="A28" s="14" t="s">
        <v>548</v>
      </c>
      <c r="B28" s="14" t="s">
        <v>602</v>
      </c>
      <c r="C28" s="14">
        <v>9</v>
      </c>
      <c r="D28" s="14">
        <v>5</v>
      </c>
      <c r="E28" s="15">
        <v>1.94</v>
      </c>
      <c r="F28" s="15">
        <v>0.99</v>
      </c>
      <c r="G28" s="15">
        <v>18.100000000000001</v>
      </c>
      <c r="H28" s="16">
        <v>379603</v>
      </c>
      <c r="I28" s="16">
        <v>5326963</v>
      </c>
      <c r="J28" s="16">
        <v>1982590</v>
      </c>
      <c r="K28" s="16">
        <v>3344373</v>
      </c>
      <c r="L28" s="22">
        <f t="shared" si="0"/>
        <v>0.62781982904705735</v>
      </c>
    </row>
    <row r="29" spans="1:12" x14ac:dyDescent="0.35">
      <c r="A29" s="17" t="s">
        <v>548</v>
      </c>
      <c r="B29" s="17" t="s">
        <v>612</v>
      </c>
      <c r="C29" s="17">
        <v>13</v>
      </c>
      <c r="D29" s="17">
        <v>7</v>
      </c>
      <c r="E29" s="18">
        <v>2</v>
      </c>
      <c r="F29" s="18">
        <v>3.01</v>
      </c>
      <c r="G29" s="18">
        <v>84.4</v>
      </c>
      <c r="H29" s="19">
        <v>288136</v>
      </c>
      <c r="I29" s="19">
        <v>13708422</v>
      </c>
      <c r="J29" s="19">
        <v>4785079</v>
      </c>
      <c r="K29" s="19">
        <v>8923343</v>
      </c>
      <c r="L29" s="21">
        <f t="shared" si="0"/>
        <v>0.65093874408009911</v>
      </c>
    </row>
    <row r="30" spans="1:12" x14ac:dyDescent="0.35">
      <c r="A30" s="14" t="s">
        <v>548</v>
      </c>
      <c r="B30" s="14" t="s">
        <v>590</v>
      </c>
      <c r="C30" s="14">
        <v>11</v>
      </c>
      <c r="D30" s="14">
        <v>8</v>
      </c>
      <c r="E30" s="15">
        <v>2.2200000000000002</v>
      </c>
      <c r="F30" s="15">
        <v>1.83</v>
      </c>
      <c r="G30" s="15">
        <v>38.700000000000003</v>
      </c>
      <c r="H30" s="16">
        <v>227798</v>
      </c>
      <c r="I30" s="16">
        <v>7929397</v>
      </c>
      <c r="J30" s="16">
        <v>2847561</v>
      </c>
      <c r="K30" s="16">
        <v>5081836</v>
      </c>
      <c r="L30" s="22">
        <f t="shared" si="0"/>
        <v>0.64088555535811864</v>
      </c>
    </row>
    <row r="31" spans="1:12" x14ac:dyDescent="0.35">
      <c r="A31" s="17" t="s">
        <v>548</v>
      </c>
      <c r="B31" s="17" t="s">
        <v>568</v>
      </c>
      <c r="C31" s="17">
        <v>10</v>
      </c>
      <c r="D31" s="17">
        <v>7</v>
      </c>
      <c r="E31" s="18">
        <v>2.38</v>
      </c>
      <c r="F31" s="18">
        <v>1.84</v>
      </c>
      <c r="G31" s="18">
        <v>35.6</v>
      </c>
      <c r="H31" s="19">
        <v>269640</v>
      </c>
      <c r="I31" s="19">
        <v>8613347</v>
      </c>
      <c r="J31" s="19">
        <v>3111162</v>
      </c>
      <c r="K31" s="19">
        <v>5502185</v>
      </c>
      <c r="L31" s="21">
        <f t="shared" si="0"/>
        <v>0.63879755453948395</v>
      </c>
    </row>
    <row r="32" spans="1:12" x14ac:dyDescent="0.35">
      <c r="A32" s="14" t="s">
        <v>548</v>
      </c>
      <c r="B32" s="14" t="s">
        <v>579</v>
      </c>
      <c r="C32" s="14">
        <v>10</v>
      </c>
      <c r="D32" s="14">
        <v>6</v>
      </c>
      <c r="E32" s="15">
        <v>1.79</v>
      </c>
      <c r="F32" s="15">
        <v>4.82</v>
      </c>
      <c r="G32" s="15">
        <v>104.5</v>
      </c>
      <c r="H32" s="16">
        <v>305446</v>
      </c>
      <c r="I32" s="16">
        <v>14725015</v>
      </c>
      <c r="J32" s="16">
        <v>5090411</v>
      </c>
      <c r="K32" s="16">
        <v>9634604</v>
      </c>
      <c r="L32" s="22">
        <f t="shared" si="0"/>
        <v>0.65430181225621842</v>
      </c>
    </row>
    <row r="33" spans="1:12" x14ac:dyDescent="0.35">
      <c r="A33" s="17" t="s">
        <v>548</v>
      </c>
      <c r="B33" s="17" t="s">
        <v>549</v>
      </c>
      <c r="C33" s="17">
        <v>18</v>
      </c>
      <c r="D33" s="17">
        <v>8</v>
      </c>
      <c r="E33" s="18">
        <v>1.77</v>
      </c>
      <c r="F33" s="18">
        <v>4.49</v>
      </c>
      <c r="G33" s="18">
        <v>153.1</v>
      </c>
      <c r="H33" s="19">
        <v>281143</v>
      </c>
      <c r="I33" s="19">
        <v>25873532</v>
      </c>
      <c r="J33" s="19">
        <v>9147384</v>
      </c>
      <c r="K33" s="19">
        <v>16726148</v>
      </c>
      <c r="L33" s="21">
        <f t="shared" si="0"/>
        <v>0.64645785507753639</v>
      </c>
    </row>
    <row r="34" spans="1:12" x14ac:dyDescent="0.35">
      <c r="A34" s="14" t="s">
        <v>388</v>
      </c>
      <c r="B34" s="14" t="s">
        <v>455</v>
      </c>
      <c r="C34" s="14">
        <v>11</v>
      </c>
      <c r="D34" s="14">
        <v>6</v>
      </c>
      <c r="E34" s="15">
        <v>2.9</v>
      </c>
      <c r="F34" s="15">
        <v>1.43</v>
      </c>
      <c r="G34" s="15">
        <v>44.9</v>
      </c>
      <c r="H34" s="16">
        <v>225596</v>
      </c>
      <c r="I34" s="16">
        <v>9904711</v>
      </c>
      <c r="J34" s="16">
        <v>3766268</v>
      </c>
      <c r="K34" s="16">
        <v>6138443</v>
      </c>
      <c r="L34" s="22">
        <f t="shared" si="0"/>
        <v>0.61974983419506136</v>
      </c>
    </row>
    <row r="35" spans="1:12" x14ac:dyDescent="0.35">
      <c r="A35" s="17" t="s">
        <v>388</v>
      </c>
      <c r="B35" s="17" t="s">
        <v>389</v>
      </c>
      <c r="C35" s="17">
        <v>11</v>
      </c>
      <c r="D35" s="17">
        <v>7</v>
      </c>
      <c r="E35" s="18">
        <v>1.75</v>
      </c>
      <c r="F35" s="18">
        <v>4.09</v>
      </c>
      <c r="G35" s="18">
        <v>81.5</v>
      </c>
      <c r="H35" s="19">
        <v>308762</v>
      </c>
      <c r="I35" s="19">
        <v>14420252</v>
      </c>
      <c r="J35" s="19">
        <v>4637632</v>
      </c>
      <c r="K35" s="19">
        <v>9782620</v>
      </c>
      <c r="L35" s="21">
        <f t="shared" si="0"/>
        <v>0.67839452458944549</v>
      </c>
    </row>
    <row r="36" spans="1:12" x14ac:dyDescent="0.35">
      <c r="A36" s="14" t="s">
        <v>388</v>
      </c>
      <c r="B36" s="14" t="s">
        <v>401</v>
      </c>
      <c r="C36" s="14">
        <v>14</v>
      </c>
      <c r="D36" s="14">
        <v>8</v>
      </c>
      <c r="E36" s="15">
        <v>2.12</v>
      </c>
      <c r="F36" s="15">
        <v>2.2999999999999998</v>
      </c>
      <c r="G36" s="15">
        <v>77.3</v>
      </c>
      <c r="H36" s="16">
        <v>220184</v>
      </c>
      <c r="I36" s="16">
        <v>10936419</v>
      </c>
      <c r="J36" s="16">
        <v>3474204</v>
      </c>
      <c r="K36" s="16">
        <v>7462215</v>
      </c>
      <c r="L36" s="22">
        <f t="shared" si="0"/>
        <v>0.68232709445386097</v>
      </c>
    </row>
    <row r="37" spans="1:12" x14ac:dyDescent="0.35">
      <c r="A37" s="17" t="s">
        <v>388</v>
      </c>
      <c r="B37" s="17" t="s">
        <v>437</v>
      </c>
      <c r="C37" s="17">
        <v>17</v>
      </c>
      <c r="D37" s="17">
        <v>8</v>
      </c>
      <c r="E37" s="18">
        <v>1.7</v>
      </c>
      <c r="F37" s="18">
        <v>2.4</v>
      </c>
      <c r="G37" s="18">
        <v>47.1</v>
      </c>
      <c r="H37" s="19">
        <v>277488</v>
      </c>
      <c r="I37" s="19">
        <v>9705053</v>
      </c>
      <c r="J37" s="19">
        <v>3657858</v>
      </c>
      <c r="K37" s="19">
        <v>6047195</v>
      </c>
      <c r="L37" s="21">
        <f t="shared" si="0"/>
        <v>0.62309757607712191</v>
      </c>
    </row>
    <row r="38" spans="1:12" x14ac:dyDescent="0.35">
      <c r="A38" s="14" t="s">
        <v>388</v>
      </c>
      <c r="B38" s="14" t="s">
        <v>428</v>
      </c>
      <c r="C38" s="14">
        <v>8</v>
      </c>
      <c r="D38" s="14">
        <v>5</v>
      </c>
      <c r="E38" s="15">
        <v>2.65</v>
      </c>
      <c r="F38" s="15">
        <v>4.3899999999999997</v>
      </c>
      <c r="G38" s="15">
        <v>77.2</v>
      </c>
      <c r="H38" s="16">
        <v>230384</v>
      </c>
      <c r="I38" s="16">
        <v>11103338</v>
      </c>
      <c r="J38" s="16">
        <v>3743838</v>
      </c>
      <c r="K38" s="16">
        <v>7359500</v>
      </c>
      <c r="L38" s="22">
        <f t="shared" si="0"/>
        <v>0.66281869470243993</v>
      </c>
    </row>
    <row r="39" spans="1:12" x14ac:dyDescent="0.35">
      <c r="A39" s="17" t="s">
        <v>388</v>
      </c>
      <c r="B39" s="17" t="s">
        <v>416</v>
      </c>
      <c r="C39" s="17">
        <v>11</v>
      </c>
      <c r="D39" s="17">
        <v>9</v>
      </c>
      <c r="E39" s="18">
        <v>1.71</v>
      </c>
      <c r="F39" s="18">
        <v>3.52</v>
      </c>
      <c r="G39" s="18">
        <v>94.1</v>
      </c>
      <c r="H39" s="19">
        <v>259598</v>
      </c>
      <c r="I39" s="19">
        <v>13055809</v>
      </c>
      <c r="J39" s="19">
        <v>5067093</v>
      </c>
      <c r="K39" s="19">
        <v>7988716</v>
      </c>
      <c r="L39" s="21">
        <f t="shared" si="0"/>
        <v>0.61188977259088273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showGridLines="0" zoomScaleNormal="100" workbookViewId="0">
      <pane ySplit="2" topLeftCell="A15" activePane="bottomLeft" state="frozen"/>
      <selection pane="bottomLeft" sqref="A1:L1"/>
    </sheetView>
  </sheetViews>
  <sheetFormatPr defaultColWidth="8.6328125" defaultRowHeight="14.5" x14ac:dyDescent="0.35"/>
  <cols>
    <col min="1" max="1" width="12" customWidth="1"/>
    <col min="2" max="2" width="9" customWidth="1"/>
    <col min="3" max="3" width="12" customWidth="1"/>
    <col min="4" max="4" width="11" customWidth="1"/>
    <col min="5" max="7" width="12" customWidth="1"/>
    <col min="8" max="8" width="16" customWidth="1"/>
    <col min="9" max="9" width="20" customWidth="1"/>
    <col min="10" max="11" width="18" customWidth="1"/>
    <col min="12" max="13" width="16" customWidth="1"/>
  </cols>
  <sheetData>
    <row r="1" spans="1:13" ht="25.5" customHeight="1" x14ac:dyDescent="0.35">
      <c r="A1" s="1" t="s">
        <v>635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30" customHeight="1" x14ac:dyDescent="0.35">
      <c r="A2" s="20" t="s">
        <v>52</v>
      </c>
      <c r="B2" s="20" t="s">
        <v>636</v>
      </c>
      <c r="C2" s="20" t="s">
        <v>637</v>
      </c>
      <c r="D2" s="20" t="s">
        <v>628</v>
      </c>
      <c r="E2" s="20" t="s">
        <v>638</v>
      </c>
      <c r="F2" s="20" t="s">
        <v>629</v>
      </c>
      <c r="G2" s="20" t="s">
        <v>639</v>
      </c>
      <c r="H2" s="20" t="s">
        <v>630</v>
      </c>
      <c r="I2" s="20" t="s">
        <v>640</v>
      </c>
      <c r="J2" s="20" t="s">
        <v>632</v>
      </c>
      <c r="K2" s="20" t="s">
        <v>58</v>
      </c>
      <c r="L2" s="20" t="s">
        <v>641</v>
      </c>
      <c r="M2" s="20" t="s">
        <v>642</v>
      </c>
    </row>
    <row r="3" spans="1:13" x14ac:dyDescent="0.35">
      <c r="A3" s="23" t="s">
        <v>80</v>
      </c>
      <c r="B3" s="24">
        <v>50</v>
      </c>
      <c r="C3" s="24">
        <v>27</v>
      </c>
      <c r="D3" s="25">
        <v>2.4900000000000002</v>
      </c>
      <c r="E3" s="25">
        <v>9.35</v>
      </c>
      <c r="F3" s="25">
        <v>14.48</v>
      </c>
      <c r="G3" s="25">
        <v>19.420000000000002</v>
      </c>
      <c r="H3" s="25">
        <v>1827.6</v>
      </c>
      <c r="I3" s="26">
        <v>95779</v>
      </c>
      <c r="J3" s="26">
        <v>175739821</v>
      </c>
      <c r="K3" s="26">
        <v>61585333</v>
      </c>
      <c r="L3" s="26">
        <v>2283090</v>
      </c>
      <c r="M3" s="27">
        <f t="shared" ref="M3:M12" si="0">IF(J3=0,0,(J3-K3)/J3)</f>
        <v>0.64956529118121731</v>
      </c>
    </row>
    <row r="4" spans="1:13" x14ac:dyDescent="0.35">
      <c r="A4" s="28" t="s">
        <v>74</v>
      </c>
      <c r="B4" s="29">
        <v>44</v>
      </c>
      <c r="C4" s="29">
        <v>26</v>
      </c>
      <c r="D4" s="30">
        <v>1.53</v>
      </c>
      <c r="E4" s="30">
        <v>5.27</v>
      </c>
      <c r="F4" s="30">
        <v>7.77</v>
      </c>
      <c r="G4" s="30">
        <v>11.05</v>
      </c>
      <c r="H4" s="30">
        <v>519.6</v>
      </c>
      <c r="I4" s="31">
        <v>181658</v>
      </c>
      <c r="J4" s="31">
        <v>94693052</v>
      </c>
      <c r="K4" s="31">
        <v>32004551</v>
      </c>
      <c r="L4" s="31">
        <v>1424739</v>
      </c>
      <c r="M4" s="32">
        <f t="shared" si="0"/>
        <v>0.66201795882553238</v>
      </c>
    </row>
    <row r="5" spans="1:13" x14ac:dyDescent="0.35">
      <c r="A5" s="33" t="s">
        <v>98</v>
      </c>
      <c r="B5" s="34">
        <v>40</v>
      </c>
      <c r="C5" s="34">
        <v>25</v>
      </c>
      <c r="D5" s="35">
        <v>1.93</v>
      </c>
      <c r="E5" s="35">
        <v>1.35</v>
      </c>
      <c r="F5" s="35">
        <v>2.0699999999999998</v>
      </c>
      <c r="G5" s="35">
        <v>2.85</v>
      </c>
      <c r="H5" s="35">
        <v>159.9</v>
      </c>
      <c r="I5" s="36">
        <v>331560</v>
      </c>
      <c r="J5" s="36">
        <v>52959399</v>
      </c>
      <c r="K5" s="36">
        <v>19505874</v>
      </c>
      <c r="L5" s="36">
        <v>836338</v>
      </c>
      <c r="M5" s="37">
        <f t="shared" si="0"/>
        <v>0.63168248944819028</v>
      </c>
    </row>
    <row r="6" spans="1:13" x14ac:dyDescent="0.35">
      <c r="A6" s="38" t="s">
        <v>111</v>
      </c>
      <c r="B6" s="39">
        <v>51</v>
      </c>
      <c r="C6" s="39">
        <v>29</v>
      </c>
      <c r="D6" s="40">
        <v>2.1800000000000002</v>
      </c>
      <c r="E6" s="40">
        <v>0.54</v>
      </c>
      <c r="F6" s="40">
        <v>0.86</v>
      </c>
      <c r="G6" s="40">
        <v>1.1599999999999999</v>
      </c>
      <c r="H6" s="40">
        <v>96.9</v>
      </c>
      <c r="I6" s="41">
        <v>496476</v>
      </c>
      <c r="J6" s="41">
        <v>48350567</v>
      </c>
      <c r="K6" s="41">
        <v>17420073</v>
      </c>
      <c r="L6" s="41">
        <v>606480</v>
      </c>
      <c r="M6" s="42">
        <f t="shared" si="0"/>
        <v>0.63971315993047195</v>
      </c>
    </row>
    <row r="7" spans="1:13" x14ac:dyDescent="0.35">
      <c r="A7" s="43" t="s">
        <v>93</v>
      </c>
      <c r="B7" s="44">
        <v>56</v>
      </c>
      <c r="C7" s="44">
        <v>28</v>
      </c>
      <c r="D7" s="45">
        <v>1.98</v>
      </c>
      <c r="E7" s="45">
        <v>0.68</v>
      </c>
      <c r="F7" s="45">
        <v>1</v>
      </c>
      <c r="G7" s="45">
        <v>1.41</v>
      </c>
      <c r="H7" s="45">
        <v>110.7</v>
      </c>
      <c r="I7" s="46">
        <v>382730</v>
      </c>
      <c r="J7" s="46">
        <v>42817626</v>
      </c>
      <c r="K7" s="46">
        <v>14941575</v>
      </c>
      <c r="L7" s="46">
        <v>497787</v>
      </c>
      <c r="M7" s="47">
        <f t="shared" si="0"/>
        <v>0.65104148931563843</v>
      </c>
    </row>
    <row r="8" spans="1:13" x14ac:dyDescent="0.35">
      <c r="A8" s="48" t="s">
        <v>105</v>
      </c>
      <c r="B8" s="49">
        <v>46</v>
      </c>
      <c r="C8" s="49">
        <v>26</v>
      </c>
      <c r="D8" s="50">
        <v>1.39</v>
      </c>
      <c r="E8" s="50">
        <v>0.89</v>
      </c>
      <c r="F8" s="50">
        <v>1.22</v>
      </c>
      <c r="G8" s="50">
        <v>1.68</v>
      </c>
      <c r="H8" s="50">
        <v>78.5</v>
      </c>
      <c r="I8" s="51">
        <v>417832</v>
      </c>
      <c r="J8" s="51">
        <v>32439445</v>
      </c>
      <c r="K8" s="51">
        <v>11098357</v>
      </c>
      <c r="L8" s="51">
        <v>463937</v>
      </c>
      <c r="M8" s="52">
        <f t="shared" si="0"/>
        <v>0.65787463379845124</v>
      </c>
    </row>
    <row r="9" spans="1:13" x14ac:dyDescent="0.35">
      <c r="A9" s="53" t="s">
        <v>116</v>
      </c>
      <c r="B9" s="54">
        <v>55</v>
      </c>
      <c r="C9" s="54">
        <v>27</v>
      </c>
      <c r="D9" s="55">
        <v>2.15</v>
      </c>
      <c r="E9" s="55">
        <v>1.1100000000000001</v>
      </c>
      <c r="F9" s="55">
        <v>1.72</v>
      </c>
      <c r="G9" s="55">
        <v>2.33</v>
      </c>
      <c r="H9" s="55">
        <v>206.1</v>
      </c>
      <c r="I9" s="56">
        <v>148998</v>
      </c>
      <c r="J9" s="56">
        <v>30623297</v>
      </c>
      <c r="K9" s="56">
        <v>10879077</v>
      </c>
      <c r="L9" s="56">
        <v>358986</v>
      </c>
      <c r="M9" s="57">
        <f t="shared" si="0"/>
        <v>0.64474507757933441</v>
      </c>
    </row>
    <row r="10" spans="1:13" x14ac:dyDescent="0.35">
      <c r="A10" s="58" t="s">
        <v>85</v>
      </c>
      <c r="B10" s="59">
        <v>54</v>
      </c>
      <c r="C10" s="59">
        <v>25</v>
      </c>
      <c r="D10" s="60">
        <v>2.79</v>
      </c>
      <c r="E10" s="60">
        <v>0.84</v>
      </c>
      <c r="F10" s="60">
        <v>1.25</v>
      </c>
      <c r="G10" s="60">
        <v>1.81</v>
      </c>
      <c r="H10" s="60">
        <v>185</v>
      </c>
      <c r="I10" s="61">
        <v>131061</v>
      </c>
      <c r="J10" s="61">
        <v>24237233</v>
      </c>
      <c r="K10" s="61">
        <v>8686531</v>
      </c>
      <c r="L10" s="61">
        <v>287976</v>
      </c>
      <c r="M10" s="62">
        <f t="shared" si="0"/>
        <v>0.64160384974637985</v>
      </c>
    </row>
    <row r="11" spans="1:13" x14ac:dyDescent="0.35">
      <c r="A11" s="63" t="s">
        <v>101</v>
      </c>
      <c r="B11" s="64">
        <v>48</v>
      </c>
      <c r="C11" s="64">
        <v>31</v>
      </c>
      <c r="D11" s="65">
        <v>3.25</v>
      </c>
      <c r="E11" s="65">
        <v>0.76</v>
      </c>
      <c r="F11" s="65">
        <v>1.05</v>
      </c>
      <c r="G11" s="65">
        <v>1.52</v>
      </c>
      <c r="H11" s="65">
        <v>167.1</v>
      </c>
      <c r="I11" s="66">
        <v>127071</v>
      </c>
      <c r="J11" s="66">
        <v>21017936</v>
      </c>
      <c r="K11" s="66">
        <v>7396347</v>
      </c>
      <c r="L11" s="66">
        <v>283783</v>
      </c>
      <c r="M11" s="67">
        <f t="shared" si="0"/>
        <v>0.64809356161328113</v>
      </c>
    </row>
    <row r="12" spans="1:13" x14ac:dyDescent="0.35">
      <c r="A12" s="68" t="s">
        <v>96</v>
      </c>
      <c r="B12" s="69">
        <v>46</v>
      </c>
      <c r="C12" s="69">
        <v>30</v>
      </c>
      <c r="D12" s="70">
        <v>1.4</v>
      </c>
      <c r="E12" s="70">
        <v>0.42</v>
      </c>
      <c r="F12" s="70">
        <v>0.64</v>
      </c>
      <c r="G12" s="70">
        <v>0.91</v>
      </c>
      <c r="H12" s="70">
        <v>40.799999999999997</v>
      </c>
      <c r="I12" s="71">
        <v>391829</v>
      </c>
      <c r="J12" s="71">
        <v>16094038</v>
      </c>
      <c r="K12" s="71">
        <v>5535433</v>
      </c>
      <c r="L12" s="71">
        <v>229535</v>
      </c>
      <c r="M12" s="72">
        <f t="shared" si="0"/>
        <v>0.65605691996004978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showGridLines="0" zoomScaleNormal="100" workbookViewId="0">
      <pane ySplit="2" topLeftCell="A3" activePane="bottomLeft" state="frozen"/>
      <selection pane="bottomLeft" sqref="A1:K1"/>
    </sheetView>
  </sheetViews>
  <sheetFormatPr defaultColWidth="8.6328125" defaultRowHeight="14.5" x14ac:dyDescent="0.35"/>
  <cols>
    <col min="1" max="1" width="22" customWidth="1"/>
    <col min="2" max="2" width="12" customWidth="1"/>
    <col min="3" max="3" width="9" customWidth="1"/>
    <col min="4" max="4" width="11" customWidth="1"/>
    <col min="5" max="5" width="12" customWidth="1"/>
    <col min="6" max="10" width="16" customWidth="1"/>
    <col min="11" max="11" width="15" customWidth="1"/>
  </cols>
  <sheetData>
    <row r="1" spans="1:11" ht="25.5" customHeight="1" x14ac:dyDescent="0.35">
      <c r="A1" s="1" t="s">
        <v>643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35">
      <c r="A2" s="20" t="s">
        <v>51</v>
      </c>
      <c r="B2" s="20" t="s">
        <v>52</v>
      </c>
      <c r="C2" s="20" t="s">
        <v>636</v>
      </c>
      <c r="D2" s="20" t="s">
        <v>628</v>
      </c>
      <c r="E2" s="20" t="s">
        <v>629</v>
      </c>
      <c r="F2" s="20" t="s">
        <v>630</v>
      </c>
      <c r="G2" s="20" t="s">
        <v>644</v>
      </c>
      <c r="H2" s="20" t="s">
        <v>645</v>
      </c>
      <c r="I2" s="20" t="s">
        <v>641</v>
      </c>
      <c r="J2" s="20" t="s">
        <v>642</v>
      </c>
      <c r="K2" s="20" t="s">
        <v>646</v>
      </c>
    </row>
    <row r="3" spans="1:11" x14ac:dyDescent="0.35">
      <c r="A3" s="73" t="s">
        <v>88</v>
      </c>
      <c r="B3" s="73" t="s">
        <v>80</v>
      </c>
      <c r="C3" s="73">
        <v>16</v>
      </c>
      <c r="D3" s="74">
        <v>2.5499999999999998</v>
      </c>
      <c r="E3" s="74">
        <v>13.29</v>
      </c>
      <c r="F3" s="74">
        <v>550.70000000000005</v>
      </c>
      <c r="G3" s="75">
        <v>3129700</v>
      </c>
      <c r="H3" s="75">
        <v>1084102</v>
      </c>
      <c r="I3" s="75">
        <v>2045599</v>
      </c>
      <c r="J3" s="57">
        <f t="shared" ref="J3:J22" si="0">IF(G3=0,0,(G3-H3)/G3)</f>
        <v>0.65360833306706712</v>
      </c>
      <c r="K3" s="76">
        <v>0.56200000000000006</v>
      </c>
    </row>
    <row r="4" spans="1:11" x14ac:dyDescent="0.35">
      <c r="A4" s="73" t="s">
        <v>88</v>
      </c>
      <c r="B4" s="73" t="s">
        <v>74</v>
      </c>
      <c r="C4" s="73">
        <v>20</v>
      </c>
      <c r="D4" s="74">
        <v>1.72</v>
      </c>
      <c r="E4" s="74">
        <v>7.38</v>
      </c>
      <c r="F4" s="74">
        <v>259.89999999999998</v>
      </c>
      <c r="G4" s="75">
        <v>2401632</v>
      </c>
      <c r="H4" s="75">
        <v>842620</v>
      </c>
      <c r="I4" s="75">
        <v>1559012</v>
      </c>
      <c r="J4" s="57">
        <f t="shared" si="0"/>
        <v>0.64914691343219943</v>
      </c>
      <c r="K4" s="76">
        <v>0.5</v>
      </c>
    </row>
    <row r="5" spans="1:11" x14ac:dyDescent="0.35">
      <c r="A5" s="73" t="s">
        <v>88</v>
      </c>
      <c r="B5" s="73" t="s">
        <v>98</v>
      </c>
      <c r="C5" s="73">
        <v>17</v>
      </c>
      <c r="D5" s="74">
        <v>2.08</v>
      </c>
      <c r="E5" s="74">
        <v>1.97</v>
      </c>
      <c r="F5" s="74">
        <v>69.900000000000006</v>
      </c>
      <c r="G5" s="75">
        <v>1412571</v>
      </c>
      <c r="H5" s="75">
        <v>519020</v>
      </c>
      <c r="I5" s="75">
        <v>893550</v>
      </c>
      <c r="J5" s="57">
        <f t="shared" si="0"/>
        <v>0.63257068140291706</v>
      </c>
      <c r="K5" s="76">
        <v>0.64700000000000002</v>
      </c>
    </row>
    <row r="6" spans="1:11" x14ac:dyDescent="0.35">
      <c r="A6" s="73" t="s">
        <v>88</v>
      </c>
      <c r="B6" s="73" t="s">
        <v>111</v>
      </c>
      <c r="C6" s="73">
        <v>18</v>
      </c>
      <c r="D6" s="74">
        <v>2.08</v>
      </c>
      <c r="E6" s="74">
        <v>0.73</v>
      </c>
      <c r="F6" s="74">
        <v>28.7</v>
      </c>
      <c r="G6" s="75">
        <v>764460</v>
      </c>
      <c r="H6" s="75">
        <v>268463</v>
      </c>
      <c r="I6" s="75">
        <v>495997</v>
      </c>
      <c r="J6" s="57">
        <f t="shared" si="0"/>
        <v>0.64882008214949116</v>
      </c>
      <c r="K6" s="76">
        <v>0.83299999999999996</v>
      </c>
    </row>
    <row r="7" spans="1:11" x14ac:dyDescent="0.35">
      <c r="A7" s="73" t="s">
        <v>88</v>
      </c>
      <c r="B7" s="73" t="s">
        <v>105</v>
      </c>
      <c r="C7" s="73">
        <v>16</v>
      </c>
      <c r="D7" s="74">
        <v>1.54</v>
      </c>
      <c r="E7" s="74">
        <v>1.2</v>
      </c>
      <c r="F7" s="74">
        <v>28.4</v>
      </c>
      <c r="G7" s="75">
        <v>753307</v>
      </c>
      <c r="H7" s="75">
        <v>261892</v>
      </c>
      <c r="I7" s="75">
        <v>491415</v>
      </c>
      <c r="J7" s="57">
        <f t="shared" si="0"/>
        <v>0.65234359962140265</v>
      </c>
      <c r="K7" s="76">
        <v>0.625</v>
      </c>
    </row>
    <row r="8" spans="1:11" x14ac:dyDescent="0.35">
      <c r="A8" s="73" t="s">
        <v>88</v>
      </c>
      <c r="B8" s="73" t="s">
        <v>93</v>
      </c>
      <c r="C8" s="73">
        <v>29</v>
      </c>
      <c r="D8" s="74">
        <v>1.95</v>
      </c>
      <c r="E8" s="74">
        <v>0.94</v>
      </c>
      <c r="F8" s="74">
        <v>53</v>
      </c>
      <c r="G8" s="75">
        <v>706757</v>
      </c>
      <c r="H8" s="75">
        <v>245961</v>
      </c>
      <c r="I8" s="75">
        <v>460796</v>
      </c>
      <c r="J8" s="57">
        <f t="shared" si="0"/>
        <v>0.65198646776756364</v>
      </c>
      <c r="K8" s="76">
        <v>0.72399999999999998</v>
      </c>
    </row>
    <row r="9" spans="1:11" x14ac:dyDescent="0.35">
      <c r="A9" s="73" t="s">
        <v>88</v>
      </c>
      <c r="B9" s="73" t="s">
        <v>85</v>
      </c>
      <c r="C9" s="73">
        <v>30</v>
      </c>
      <c r="D9" s="74">
        <v>3.12</v>
      </c>
      <c r="E9" s="74">
        <v>1.1200000000000001</v>
      </c>
      <c r="F9" s="74">
        <v>104.3</v>
      </c>
      <c r="G9" s="75">
        <v>455840</v>
      </c>
      <c r="H9" s="75">
        <v>163065</v>
      </c>
      <c r="I9" s="75">
        <v>292775</v>
      </c>
      <c r="J9" s="57">
        <f t="shared" si="0"/>
        <v>0.64227579852579852</v>
      </c>
      <c r="K9" s="76">
        <v>0.56699999999999995</v>
      </c>
    </row>
    <row r="10" spans="1:11" x14ac:dyDescent="0.35">
      <c r="A10" s="73" t="s">
        <v>88</v>
      </c>
      <c r="B10" s="73" t="s">
        <v>116</v>
      </c>
      <c r="C10" s="73">
        <v>27</v>
      </c>
      <c r="D10" s="74">
        <v>2</v>
      </c>
      <c r="E10" s="74">
        <v>1.5</v>
      </c>
      <c r="F10" s="74">
        <v>80.900000000000006</v>
      </c>
      <c r="G10" s="75">
        <v>450941</v>
      </c>
      <c r="H10" s="75">
        <v>163239</v>
      </c>
      <c r="I10" s="75">
        <v>287701</v>
      </c>
      <c r="J10" s="57">
        <f t="shared" si="0"/>
        <v>0.6380036412745792</v>
      </c>
      <c r="K10" s="76">
        <v>0.66700000000000004</v>
      </c>
    </row>
    <row r="11" spans="1:11" x14ac:dyDescent="0.35">
      <c r="A11" s="73" t="s">
        <v>88</v>
      </c>
      <c r="B11" s="73" t="s">
        <v>101</v>
      </c>
      <c r="C11" s="73">
        <v>25</v>
      </c>
      <c r="D11" s="74">
        <v>3.13</v>
      </c>
      <c r="E11" s="74">
        <v>1</v>
      </c>
      <c r="F11" s="74">
        <v>78.400000000000006</v>
      </c>
      <c r="G11" s="75">
        <v>396846</v>
      </c>
      <c r="H11" s="75">
        <v>136769</v>
      </c>
      <c r="I11" s="75">
        <v>260077</v>
      </c>
      <c r="J11" s="57">
        <f t="shared" si="0"/>
        <v>0.65536001370808827</v>
      </c>
      <c r="K11" s="76">
        <v>0.8</v>
      </c>
    </row>
    <row r="12" spans="1:11" x14ac:dyDescent="0.35">
      <c r="A12" s="73" t="s">
        <v>88</v>
      </c>
      <c r="B12" s="73" t="s">
        <v>96</v>
      </c>
      <c r="C12" s="73">
        <v>27</v>
      </c>
      <c r="D12" s="74">
        <v>1.44</v>
      </c>
      <c r="E12" s="74">
        <v>0.57999999999999996</v>
      </c>
      <c r="F12" s="74">
        <v>22.3</v>
      </c>
      <c r="G12" s="75">
        <v>322044</v>
      </c>
      <c r="H12" s="75">
        <v>107483</v>
      </c>
      <c r="I12" s="75">
        <v>214561</v>
      </c>
      <c r="J12" s="57">
        <f t="shared" si="0"/>
        <v>0.66624746928991074</v>
      </c>
      <c r="K12" s="76">
        <v>0.63</v>
      </c>
    </row>
    <row r="13" spans="1:11" x14ac:dyDescent="0.35">
      <c r="A13" s="77" t="s">
        <v>73</v>
      </c>
      <c r="B13" s="77" t="s">
        <v>80</v>
      </c>
      <c r="C13" s="77">
        <v>34</v>
      </c>
      <c r="D13" s="78">
        <v>2.46</v>
      </c>
      <c r="E13" s="78">
        <v>15.04</v>
      </c>
      <c r="F13" s="78">
        <v>1276.8</v>
      </c>
      <c r="G13" s="79">
        <v>3696018</v>
      </c>
      <c r="H13" s="79">
        <v>1301168</v>
      </c>
      <c r="I13" s="79">
        <v>2394850</v>
      </c>
      <c r="J13" s="32">
        <f t="shared" si="0"/>
        <v>0.64795409546165628</v>
      </c>
      <c r="K13" s="80">
        <v>0.64700000000000002</v>
      </c>
    </row>
    <row r="14" spans="1:11" x14ac:dyDescent="0.35">
      <c r="A14" s="77" t="s">
        <v>73</v>
      </c>
      <c r="B14" s="77" t="s">
        <v>74</v>
      </c>
      <c r="C14" s="77">
        <v>24</v>
      </c>
      <c r="D14" s="78">
        <v>1.37</v>
      </c>
      <c r="E14" s="78">
        <v>8.09</v>
      </c>
      <c r="F14" s="78">
        <v>259.7</v>
      </c>
      <c r="G14" s="79">
        <v>1944184</v>
      </c>
      <c r="H14" s="79">
        <v>631340</v>
      </c>
      <c r="I14" s="79">
        <v>1312844</v>
      </c>
      <c r="J14" s="32">
        <f t="shared" si="0"/>
        <v>0.6752673615254523</v>
      </c>
      <c r="K14" s="80">
        <v>0.70799999999999996</v>
      </c>
    </row>
    <row r="15" spans="1:11" x14ac:dyDescent="0.35">
      <c r="A15" s="77" t="s">
        <v>73</v>
      </c>
      <c r="B15" s="77" t="s">
        <v>98</v>
      </c>
      <c r="C15" s="77">
        <v>23</v>
      </c>
      <c r="D15" s="78">
        <v>1.82</v>
      </c>
      <c r="E15" s="78">
        <v>2.15</v>
      </c>
      <c r="F15" s="78">
        <v>90</v>
      </c>
      <c r="G15" s="79">
        <v>1258509</v>
      </c>
      <c r="H15" s="79">
        <v>464458</v>
      </c>
      <c r="I15" s="79">
        <v>794051</v>
      </c>
      <c r="J15" s="32">
        <f t="shared" si="0"/>
        <v>0.6309458255761381</v>
      </c>
      <c r="K15" s="80">
        <v>0.65200000000000002</v>
      </c>
    </row>
    <row r="16" spans="1:11" x14ac:dyDescent="0.35">
      <c r="A16" s="77" t="s">
        <v>73</v>
      </c>
      <c r="B16" s="77" t="s">
        <v>111</v>
      </c>
      <c r="C16" s="77">
        <v>33</v>
      </c>
      <c r="D16" s="78">
        <v>2.2400000000000002</v>
      </c>
      <c r="E16" s="78">
        <v>0.93</v>
      </c>
      <c r="F16" s="78">
        <v>68.2</v>
      </c>
      <c r="G16" s="79">
        <v>1048190</v>
      </c>
      <c r="H16" s="79">
        <v>381446</v>
      </c>
      <c r="I16" s="79">
        <v>666744</v>
      </c>
      <c r="J16" s="32">
        <f t="shared" si="0"/>
        <v>0.63609078506759276</v>
      </c>
      <c r="K16" s="80">
        <v>0.69699999999999995</v>
      </c>
    </row>
    <row r="17" spans="1:11" x14ac:dyDescent="0.35">
      <c r="A17" s="77" t="s">
        <v>73</v>
      </c>
      <c r="B17" s="77" t="s">
        <v>93</v>
      </c>
      <c r="C17" s="77">
        <v>27</v>
      </c>
      <c r="D17" s="78">
        <v>2.0099999999999998</v>
      </c>
      <c r="E17" s="78">
        <v>1.06</v>
      </c>
      <c r="F17" s="78">
        <v>57.6</v>
      </c>
      <c r="G17" s="79">
        <v>826728</v>
      </c>
      <c r="H17" s="79">
        <v>289211</v>
      </c>
      <c r="I17" s="79">
        <v>537517</v>
      </c>
      <c r="J17" s="32">
        <f t="shared" si="0"/>
        <v>0.65017393870777329</v>
      </c>
      <c r="K17" s="80">
        <v>0.59299999999999997</v>
      </c>
    </row>
    <row r="18" spans="1:11" x14ac:dyDescent="0.35">
      <c r="A18" s="77" t="s">
        <v>73</v>
      </c>
      <c r="B18" s="77" t="s">
        <v>105</v>
      </c>
      <c r="C18" s="77">
        <v>30</v>
      </c>
      <c r="D18" s="78">
        <v>1.3</v>
      </c>
      <c r="E18" s="78">
        <v>1.24</v>
      </c>
      <c r="F18" s="78">
        <v>50.1</v>
      </c>
      <c r="G18" s="79">
        <v>679551</v>
      </c>
      <c r="H18" s="79">
        <v>230270</v>
      </c>
      <c r="I18" s="79">
        <v>449281</v>
      </c>
      <c r="J18" s="32">
        <f t="shared" si="0"/>
        <v>0.66114390237083021</v>
      </c>
      <c r="K18" s="80">
        <v>0.56699999999999995</v>
      </c>
    </row>
    <row r="19" spans="1:11" x14ac:dyDescent="0.35">
      <c r="A19" s="77" t="s">
        <v>73</v>
      </c>
      <c r="B19" s="77" t="s">
        <v>116</v>
      </c>
      <c r="C19" s="77">
        <v>28</v>
      </c>
      <c r="D19" s="78">
        <v>2.2999999999999998</v>
      </c>
      <c r="E19" s="78">
        <v>1.94</v>
      </c>
      <c r="F19" s="78">
        <v>125.2</v>
      </c>
      <c r="G19" s="79">
        <v>658854</v>
      </c>
      <c r="H19" s="79">
        <v>231129</v>
      </c>
      <c r="I19" s="79">
        <v>427725</v>
      </c>
      <c r="J19" s="32">
        <f t="shared" si="0"/>
        <v>0.64919542114034368</v>
      </c>
      <c r="K19" s="80">
        <v>0.71399999999999997</v>
      </c>
    </row>
    <row r="20" spans="1:11" x14ac:dyDescent="0.35">
      <c r="A20" s="77" t="s">
        <v>73</v>
      </c>
      <c r="B20" s="77" t="s">
        <v>101</v>
      </c>
      <c r="C20" s="77">
        <v>23</v>
      </c>
      <c r="D20" s="78">
        <v>3.38</v>
      </c>
      <c r="E20" s="78">
        <v>1.1100000000000001</v>
      </c>
      <c r="F20" s="78">
        <v>88.6</v>
      </c>
      <c r="G20" s="79">
        <v>482469</v>
      </c>
      <c r="H20" s="79">
        <v>172918</v>
      </c>
      <c r="I20" s="79">
        <v>309551</v>
      </c>
      <c r="J20" s="32">
        <f t="shared" si="0"/>
        <v>0.64159769850498172</v>
      </c>
      <c r="K20" s="80">
        <v>0.69599999999999995</v>
      </c>
    </row>
    <row r="21" spans="1:11" x14ac:dyDescent="0.35">
      <c r="A21" s="77" t="s">
        <v>73</v>
      </c>
      <c r="B21" s="77" t="s">
        <v>85</v>
      </c>
      <c r="C21" s="77">
        <v>24</v>
      </c>
      <c r="D21" s="78">
        <v>2.37</v>
      </c>
      <c r="E21" s="78">
        <v>1.42</v>
      </c>
      <c r="F21" s="78">
        <v>80.7</v>
      </c>
      <c r="G21" s="79">
        <v>440084</v>
      </c>
      <c r="H21" s="79">
        <v>158108</v>
      </c>
      <c r="I21" s="79">
        <v>281977</v>
      </c>
      <c r="J21" s="32">
        <f t="shared" si="0"/>
        <v>0.64073222384817441</v>
      </c>
      <c r="K21" s="80">
        <v>0.45800000000000002</v>
      </c>
    </row>
    <row r="22" spans="1:11" x14ac:dyDescent="0.35">
      <c r="A22" s="77" t="s">
        <v>73</v>
      </c>
      <c r="B22" s="77" t="s">
        <v>96</v>
      </c>
      <c r="C22" s="77">
        <v>19</v>
      </c>
      <c r="D22" s="78">
        <v>1.33</v>
      </c>
      <c r="E22" s="78">
        <v>0.73</v>
      </c>
      <c r="F22" s="78">
        <v>18.5</v>
      </c>
      <c r="G22" s="79">
        <v>389413</v>
      </c>
      <c r="H22" s="79">
        <v>138599</v>
      </c>
      <c r="I22" s="79">
        <v>250814</v>
      </c>
      <c r="J22" s="32">
        <f t="shared" si="0"/>
        <v>0.64408224686900539</v>
      </c>
      <c r="K22" s="80">
        <v>0.73699999999999999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14" customWidth="1"/>
    <col min="3" max="3" width="10" customWidth="1"/>
    <col min="4" max="4" width="14" customWidth="1"/>
    <col min="5" max="5" width="50" customWidth="1"/>
    <col min="6" max="6" width="45" customWidth="1"/>
  </cols>
  <sheetData>
    <row r="1" spans="1:6" ht="25.5" customHeight="1" x14ac:dyDescent="0.35">
      <c r="A1" s="1" t="s">
        <v>647</v>
      </c>
      <c r="B1" s="1"/>
      <c r="C1" s="1"/>
      <c r="D1" s="1"/>
      <c r="E1" s="1"/>
      <c r="F1" s="1"/>
    </row>
    <row r="2" spans="1:6" ht="21.75" customHeight="1" x14ac:dyDescent="0.35">
      <c r="A2" s="81" t="s">
        <v>648</v>
      </c>
      <c r="B2" s="81" t="s">
        <v>18</v>
      </c>
      <c r="C2" s="81" t="s">
        <v>649</v>
      </c>
      <c r="D2" s="81" t="s">
        <v>650</v>
      </c>
      <c r="E2" s="81" t="s">
        <v>19</v>
      </c>
      <c r="F2" s="81" t="s">
        <v>651</v>
      </c>
    </row>
    <row r="3" spans="1:6" ht="27.75" customHeight="1" x14ac:dyDescent="0.35">
      <c r="A3" s="82" t="s">
        <v>48</v>
      </c>
      <c r="B3" s="82" t="s">
        <v>652</v>
      </c>
      <c r="C3" s="82" t="s">
        <v>653</v>
      </c>
      <c r="D3" s="82" t="s">
        <v>654</v>
      </c>
      <c r="E3" s="82" t="s">
        <v>655</v>
      </c>
      <c r="F3" s="82" t="s">
        <v>656</v>
      </c>
    </row>
    <row r="4" spans="1:6" ht="27.75" customHeight="1" x14ac:dyDescent="0.35">
      <c r="A4" s="83" t="s">
        <v>49</v>
      </c>
      <c r="B4" s="83" t="s">
        <v>652</v>
      </c>
      <c r="C4" s="83" t="s">
        <v>657</v>
      </c>
      <c r="D4" s="83" t="s">
        <v>654</v>
      </c>
      <c r="E4" s="83" t="s">
        <v>658</v>
      </c>
      <c r="F4" s="83" t="s">
        <v>659</v>
      </c>
    </row>
    <row r="5" spans="1:6" ht="27.75" customHeight="1" x14ac:dyDescent="0.35">
      <c r="A5" s="82" t="s">
        <v>50</v>
      </c>
      <c r="B5" s="82" t="s">
        <v>652</v>
      </c>
      <c r="C5" s="82" t="s">
        <v>657</v>
      </c>
      <c r="D5" s="82" t="s">
        <v>654</v>
      </c>
      <c r="E5" s="82" t="s">
        <v>660</v>
      </c>
      <c r="F5" s="82" t="s">
        <v>661</v>
      </c>
    </row>
    <row r="6" spans="1:6" ht="27.75" customHeight="1" x14ac:dyDescent="0.35">
      <c r="A6" s="83" t="s">
        <v>51</v>
      </c>
      <c r="B6" s="83" t="s">
        <v>652</v>
      </c>
      <c r="C6" s="83" t="s">
        <v>657</v>
      </c>
      <c r="D6" s="83" t="s">
        <v>654</v>
      </c>
      <c r="E6" s="83" t="s">
        <v>662</v>
      </c>
      <c r="F6" s="83" t="s">
        <v>663</v>
      </c>
    </row>
    <row r="7" spans="1:6" ht="27.75" customHeight="1" x14ac:dyDescent="0.35">
      <c r="A7" s="82" t="s">
        <v>52</v>
      </c>
      <c r="B7" s="82" t="s">
        <v>652</v>
      </c>
      <c r="C7" s="82" t="s">
        <v>657</v>
      </c>
      <c r="D7" s="82" t="s">
        <v>654</v>
      </c>
      <c r="E7" s="82" t="s">
        <v>664</v>
      </c>
      <c r="F7" s="82" t="s">
        <v>10</v>
      </c>
    </row>
    <row r="8" spans="1:6" ht="27.75" customHeight="1" x14ac:dyDescent="0.35">
      <c r="A8" s="83" t="s">
        <v>53</v>
      </c>
      <c r="B8" s="83" t="s">
        <v>652</v>
      </c>
      <c r="C8" s="83" t="s">
        <v>665</v>
      </c>
      <c r="D8" s="83" t="s">
        <v>666</v>
      </c>
      <c r="E8" s="83" t="s">
        <v>667</v>
      </c>
      <c r="F8" s="83" t="s">
        <v>668</v>
      </c>
    </row>
    <row r="9" spans="1:6" ht="27.75" customHeight="1" x14ac:dyDescent="0.35">
      <c r="A9" s="82" t="s">
        <v>54</v>
      </c>
      <c r="B9" s="82" t="s">
        <v>652</v>
      </c>
      <c r="C9" s="82" t="s">
        <v>665</v>
      </c>
      <c r="D9" s="82" t="s">
        <v>669</v>
      </c>
      <c r="E9" s="82" t="s">
        <v>670</v>
      </c>
      <c r="F9" s="82" t="s">
        <v>671</v>
      </c>
    </row>
    <row r="10" spans="1:6" ht="27.75" customHeight="1" x14ac:dyDescent="0.35">
      <c r="A10" s="83" t="s">
        <v>55</v>
      </c>
      <c r="B10" s="83" t="s">
        <v>652</v>
      </c>
      <c r="C10" s="83" t="s">
        <v>665</v>
      </c>
      <c r="D10" s="83" t="s">
        <v>672</v>
      </c>
      <c r="E10" s="83" t="s">
        <v>673</v>
      </c>
      <c r="F10" s="83" t="s">
        <v>674</v>
      </c>
    </row>
    <row r="11" spans="1:6" ht="27.75" customHeight="1" x14ac:dyDescent="0.35">
      <c r="A11" s="82" t="s">
        <v>56</v>
      </c>
      <c r="B11" s="82" t="s">
        <v>652</v>
      </c>
      <c r="C11" s="82" t="s">
        <v>675</v>
      </c>
      <c r="D11" s="82" t="s">
        <v>676</v>
      </c>
      <c r="E11" s="82" t="s">
        <v>677</v>
      </c>
      <c r="F11" s="82" t="s">
        <v>678</v>
      </c>
    </row>
    <row r="12" spans="1:6" ht="27.75" customHeight="1" x14ac:dyDescent="0.35">
      <c r="A12" s="83" t="s">
        <v>57</v>
      </c>
      <c r="B12" s="83" t="s">
        <v>652</v>
      </c>
      <c r="C12" s="83" t="s">
        <v>675</v>
      </c>
      <c r="D12" s="83" t="s">
        <v>679</v>
      </c>
      <c r="E12" s="83" t="s">
        <v>680</v>
      </c>
      <c r="F12" s="83" t="s">
        <v>681</v>
      </c>
    </row>
    <row r="13" spans="1:6" ht="27.75" customHeight="1" x14ac:dyDescent="0.35">
      <c r="A13" s="82" t="s">
        <v>58</v>
      </c>
      <c r="B13" s="82" t="s">
        <v>652</v>
      </c>
      <c r="C13" s="82" t="s">
        <v>675</v>
      </c>
      <c r="D13" s="82" t="s">
        <v>679</v>
      </c>
      <c r="E13" s="82" t="s">
        <v>682</v>
      </c>
      <c r="F13" s="82" t="s">
        <v>683</v>
      </c>
    </row>
    <row r="14" spans="1:6" ht="27.75" customHeight="1" x14ac:dyDescent="0.35">
      <c r="A14" s="83" t="s">
        <v>59</v>
      </c>
      <c r="B14" s="83" t="s">
        <v>652</v>
      </c>
      <c r="C14" s="83" t="s">
        <v>675</v>
      </c>
      <c r="D14" s="83" t="s">
        <v>679</v>
      </c>
      <c r="E14" s="83" t="s">
        <v>684</v>
      </c>
      <c r="F14" s="83" t="s">
        <v>685</v>
      </c>
    </row>
    <row r="15" spans="1:6" ht="27.75" customHeight="1" x14ac:dyDescent="0.35">
      <c r="A15" s="82" t="s">
        <v>60</v>
      </c>
      <c r="B15" s="82" t="s">
        <v>652</v>
      </c>
      <c r="C15" s="82" t="s">
        <v>675</v>
      </c>
      <c r="D15" s="82" t="s">
        <v>679</v>
      </c>
      <c r="E15" s="82" t="s">
        <v>686</v>
      </c>
      <c r="F15" s="82" t="s">
        <v>687</v>
      </c>
    </row>
    <row r="16" spans="1:6" ht="27.75" customHeight="1" x14ac:dyDescent="0.35">
      <c r="A16" s="83" t="s">
        <v>61</v>
      </c>
      <c r="B16" s="83" t="s">
        <v>652</v>
      </c>
      <c r="C16" s="83" t="s">
        <v>675</v>
      </c>
      <c r="D16" s="83" t="s">
        <v>679</v>
      </c>
      <c r="E16" s="83" t="s">
        <v>688</v>
      </c>
      <c r="F16" s="83" t="s">
        <v>689</v>
      </c>
    </row>
    <row r="17" spans="1:6" ht="27.75" customHeight="1" x14ac:dyDescent="0.35">
      <c r="A17" s="82" t="s">
        <v>62</v>
      </c>
      <c r="B17" s="82" t="s">
        <v>652</v>
      </c>
      <c r="C17" s="82" t="s">
        <v>675</v>
      </c>
      <c r="D17" s="82" t="s">
        <v>679</v>
      </c>
      <c r="E17" s="82" t="s">
        <v>690</v>
      </c>
      <c r="F17" s="82" t="s">
        <v>691</v>
      </c>
    </row>
    <row r="18" spans="1:6" ht="27.75" customHeight="1" x14ac:dyDescent="0.35">
      <c r="A18" s="83" t="s">
        <v>63</v>
      </c>
      <c r="B18" s="83" t="s">
        <v>652</v>
      </c>
      <c r="C18" s="83" t="s">
        <v>675</v>
      </c>
      <c r="D18" s="83" t="s">
        <v>679</v>
      </c>
      <c r="E18" s="83" t="s">
        <v>692</v>
      </c>
      <c r="F18" s="83" t="s">
        <v>693</v>
      </c>
    </row>
    <row r="19" spans="1:6" ht="27.75" customHeight="1" x14ac:dyDescent="0.35">
      <c r="A19" s="82" t="s">
        <v>64</v>
      </c>
      <c r="B19" s="82" t="s">
        <v>652</v>
      </c>
      <c r="C19" s="82" t="s">
        <v>657</v>
      </c>
      <c r="D19" s="82" t="s">
        <v>654</v>
      </c>
      <c r="E19" s="82" t="s">
        <v>694</v>
      </c>
      <c r="F19" s="82" t="s">
        <v>695</v>
      </c>
    </row>
    <row r="20" spans="1:6" ht="27.75" customHeight="1" x14ac:dyDescent="0.35">
      <c r="A20" s="83" t="s">
        <v>65</v>
      </c>
      <c r="B20" s="83" t="s">
        <v>652</v>
      </c>
      <c r="C20" s="83" t="s">
        <v>657</v>
      </c>
      <c r="D20" s="83" t="s">
        <v>654</v>
      </c>
      <c r="E20" s="83" t="s">
        <v>696</v>
      </c>
      <c r="F20" s="83" t="s">
        <v>697</v>
      </c>
    </row>
    <row r="21" spans="1:6" ht="27.75" customHeight="1" x14ac:dyDescent="0.35">
      <c r="A21" s="82" t="s">
        <v>66</v>
      </c>
      <c r="B21" s="82" t="s">
        <v>652</v>
      </c>
      <c r="C21" s="82" t="s">
        <v>675</v>
      </c>
      <c r="D21" s="82" t="s">
        <v>698</v>
      </c>
      <c r="E21" s="82" t="s">
        <v>699</v>
      </c>
      <c r="F21" s="82" t="s">
        <v>700</v>
      </c>
    </row>
    <row r="22" spans="1:6" ht="27.75" customHeight="1" x14ac:dyDescent="0.35">
      <c r="A22" s="83" t="s">
        <v>67</v>
      </c>
      <c r="B22" s="83" t="s">
        <v>652</v>
      </c>
      <c r="C22" s="83" t="s">
        <v>657</v>
      </c>
      <c r="D22" s="83" t="s">
        <v>654</v>
      </c>
      <c r="E22" s="83" t="s">
        <v>701</v>
      </c>
      <c r="F22" s="83" t="s">
        <v>702</v>
      </c>
    </row>
    <row r="23" spans="1:6" ht="27.75" customHeight="1" x14ac:dyDescent="0.35">
      <c r="A23" s="82" t="s">
        <v>68</v>
      </c>
      <c r="B23" s="82" t="s">
        <v>652</v>
      </c>
      <c r="C23" s="82" t="s">
        <v>703</v>
      </c>
      <c r="D23" s="82" t="s">
        <v>654</v>
      </c>
      <c r="E23" s="82" t="s">
        <v>704</v>
      </c>
      <c r="F23" s="82" t="s">
        <v>705</v>
      </c>
    </row>
    <row r="24" spans="1:6" ht="27.75" customHeight="1" x14ac:dyDescent="0.35">
      <c r="A24" s="83" t="s">
        <v>69</v>
      </c>
      <c r="B24" s="83" t="s">
        <v>652</v>
      </c>
      <c r="C24" s="83" t="s">
        <v>703</v>
      </c>
      <c r="D24" s="83" t="s">
        <v>654</v>
      </c>
      <c r="E24" s="83" t="s">
        <v>706</v>
      </c>
      <c r="F24" s="83" t="s">
        <v>705</v>
      </c>
    </row>
    <row r="25" spans="1:6" ht="27.75" customHeight="1" x14ac:dyDescent="0.35">
      <c r="A25" s="82" t="s">
        <v>634</v>
      </c>
      <c r="B25" s="82" t="s">
        <v>707</v>
      </c>
      <c r="C25" s="82" t="s">
        <v>708</v>
      </c>
      <c r="D25" s="82" t="s">
        <v>709</v>
      </c>
      <c r="E25" s="82" t="s">
        <v>710</v>
      </c>
      <c r="F25" s="82" t="s">
        <v>711</v>
      </c>
    </row>
    <row r="26" spans="1:6" ht="27.75" customHeight="1" x14ac:dyDescent="0.35">
      <c r="A26" s="83" t="s">
        <v>642</v>
      </c>
      <c r="B26" s="83" t="s">
        <v>712</v>
      </c>
      <c r="C26" s="83" t="s">
        <v>708</v>
      </c>
      <c r="D26" s="83" t="s">
        <v>709</v>
      </c>
      <c r="E26" s="83" t="s">
        <v>713</v>
      </c>
      <c r="F26" s="83" t="s">
        <v>714</v>
      </c>
    </row>
    <row r="27" spans="1:6" ht="27.75" customHeight="1" x14ac:dyDescent="0.35">
      <c r="A27" s="82" t="s">
        <v>646</v>
      </c>
      <c r="B27" s="82" t="s">
        <v>712</v>
      </c>
      <c r="C27" s="82" t="s">
        <v>708</v>
      </c>
      <c r="D27" s="82" t="s">
        <v>709</v>
      </c>
      <c r="E27" s="82" t="s">
        <v>715</v>
      </c>
      <c r="F27" s="82" t="s">
        <v>716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README</vt:lpstr>
      <vt:lpstr>📊 Raw Data</vt:lpstr>
      <vt:lpstr>🗺️ State Summary</vt:lpstr>
      <vt:lpstr>🌾 Crop Analysis</vt:lpstr>
      <vt:lpstr>📈 Season Analysis</vt:lpstr>
      <vt:lpstr>🔑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Oko Sarah</cp:lastModifiedBy>
  <cp:revision>0</cp:revision>
  <dcterms:created xsi:type="dcterms:W3CDTF">2026-05-21T06:38:31Z</dcterms:created>
  <dcterms:modified xsi:type="dcterms:W3CDTF">2026-05-21T10:23:55Z</dcterms:modified>
  <dc:language>en-US</dc:language>
</cp:coreProperties>
</file>